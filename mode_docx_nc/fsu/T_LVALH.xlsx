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40" i="4" l="1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BH16" i="6" l="1"/>
  <c r="AW16" i="6"/>
  <c r="K16" i="6"/>
  <c r="J16" i="6"/>
  <c r="BH14" i="6" l="1"/>
  <c r="AW14" i="6"/>
  <c r="K14" i="6"/>
  <c r="J14" i="6"/>
  <c r="BH7" i="6" l="1"/>
  <c r="AW7" i="6"/>
  <c r="K7" i="6"/>
  <c r="J7" i="6"/>
  <c r="BH15" i="6"/>
  <c r="AW15" i="6"/>
  <c r="K15" i="6"/>
  <c r="J15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AV3" i="4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<sst xmlns="http://schemas.openxmlformats.org/spreadsheetml/2006/main" count="898" uniqueCount="255">
  <si>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</si>
  <si>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</si>
  <si>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</si>
  <si>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</si>
  <si>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</si>
  <si>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</si>
  <si>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</si>
  <si>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</si>
  <si>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</si>
  <si>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</si>
  <si>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</si>
  <si>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</si>
  <si>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</si>
  <si>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</si>
  <si>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</si>
  <si>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</si>
  <si>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</si>
  <si>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</si>
  <si>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</si>
  <si>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</si>
  <si>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</si>
  <si>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</si>
  <si>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</si>
  <si>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</si>
  <si>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</si>
  <si>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</si>
  <si>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</si>
  <si>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</si>
  <si>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</si>
  <si>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</si>
  <si>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</si>
  <si>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</si>
  <si>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</si>
  <si>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</si>
  <si>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</si>
  <si>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</si>
  <si>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</si>
  <si>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</si>
  <si>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</si>
  <si>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</si>
  <si>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</si>
  <si>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</si>
  <si>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</si>
  <si>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</si>
  <si>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</si>
  <si>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</si>
  <si>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</si>
  <si>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</si>
  <si>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</si>
  <si>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</si>
  <si>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</si>
  <si>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</si>
  <si>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</si>
  <si>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</si>
  <si>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</si>
  <si>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</si>
  <si>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</si>
  <si>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</si>
  <si>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</si>
  <si>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</si>
  <si>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</si>
  <si>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</si>
  <si>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</si>
  <si>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</si>
  <si>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</si>
  <si>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</si>
  <si>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</si>
  <si>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</si>
  <si>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</si>
  <si>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</si>
  <si>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</si>
  <si>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</si>
  <si>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</si>
  <si>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</si>
  <si>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</si>
  <si>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</si>
  <si>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</si>
  <si>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</si>
  <si>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</si>
  <si>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</si>
  <si>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</si>
  <si>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OpOnSignalPVOC1</t>
  </si>
  <si>
    <t>OpOnSignalPVOC2</t>
  </si>
  <si>
    <t>OpOnSignalPVOC3</t>
  </si>
  <si>
    <t>OpOnSignalTTRGASLGC</t>
  </si>
  <si>
    <t>OpOnSignalOILPTRC</t>
  </si>
  <si>
    <t>OpOnSignalWINPTRC</t>
  </si>
  <si>
    <t>OpOnSignalVLVPTRC</t>
  </si>
  <si>
    <t>Неисправность выключателя</t>
  </si>
  <si>
    <t>Неисправность В</t>
  </si>
  <si>
    <t>Превышен ресурс выключателя</t>
  </si>
  <si>
    <t>Превышен ресурс В</t>
  </si>
  <si>
    <t>CBLifeExcess</t>
  </si>
  <si>
    <t>Срабатывание УРОВ</t>
  </si>
  <si>
    <t>Выключатель самопроизвольно отключен</t>
  </si>
  <si>
    <t>В самопр. отключен</t>
  </si>
  <si>
    <t>UnpromptedCBopening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</si>
  <si>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</si>
  <si>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</si>
  <si>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</si>
  <si>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</si>
  <si>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</si>
  <si>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</si>
  <si>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</si>
  <si>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</si>
  <si>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</si>
  <si>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</si>
  <si>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SGF11</t>
  </si>
  <si>
    <t>SGF12</t>
  </si>
  <si>
    <t>FbVersion</t>
  </si>
  <si>
    <t>Контроль общего внешнего сигнала</t>
  </si>
  <si>
    <t>SGF13</t>
  </si>
  <si>
    <t>Контр_ТЗ_сигн</t>
  </si>
  <si>
    <t>Контр_ГЗ_сигн</t>
  </si>
  <si>
    <t>Контр_ТЗ_блок</t>
  </si>
  <si>
    <t>Контр_ГЗ_блок</t>
  </si>
  <si>
    <t>Контр_ОТ_сигн</t>
  </si>
  <si>
    <t>Срабатывание ТО на сигнал</t>
  </si>
  <si>
    <t>Сраб.сигн ТО</t>
  </si>
  <si>
    <t>OpOnSignalLVTOC</t>
  </si>
  <si>
    <t>Срабатывание 1 ступени МТЗ на сигнал</t>
  </si>
  <si>
    <t>Сраб.сигн МТЗ 1ст.</t>
  </si>
  <si>
    <t>Срабатывание 2 ступени МТЗ на сигнал</t>
  </si>
  <si>
    <t>Сраб.сигн МТЗ 2ст.</t>
  </si>
  <si>
    <t>Срабатывание 3 ступени МТЗ на сигнал</t>
  </si>
  <si>
    <t>Сраб.сигн МТЗ 3ст.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</si>
  <si>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</si>
  <si>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</si>
  <si>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</si>
  <si>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</si>
  <si>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</si>
  <si>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</si>
  <si>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</si>
  <si>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</si>
  <si>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ЛО ДТм</t>
  </si>
  <si>
    <t>Сраб.сигн ЛО ДТм</t>
  </si>
  <si>
    <t>Срабатывание ЛО ДТо</t>
  </si>
  <si>
    <t>Сраб.сигн ЛО ДТо</t>
  </si>
  <si>
    <t>Срабатывание ЛО РД на сигнал</t>
  </si>
  <si>
    <t>Сраб.сигн ЛО РД</t>
  </si>
  <si>
    <t>Срабатывание ЛО ПК на сигнал</t>
  </si>
  <si>
    <t>Сраб.сигн ЛО ПК</t>
  </si>
  <si>
    <t>OpOnSignalPRVLVPTRC</t>
  </si>
  <si>
    <t>Срабатывание ЛО ОК на сигнал</t>
  </si>
  <si>
    <t>Сраб.сигн ЛО ОК</t>
  </si>
  <si>
    <t>OpOnSignalSHVLVPTRC</t>
  </si>
  <si>
    <t>Срабатывание ЛО ДУм расширителя на сигнал</t>
  </si>
  <si>
    <t>Сраб.сигн ЛО ДУм Р</t>
  </si>
  <si>
    <t>OpOnSignalLEVPTRC</t>
  </si>
  <si>
    <t>Срабатывание ЗП</t>
  </si>
  <si>
    <t>Сраб. ЗП</t>
  </si>
  <si>
    <t>OpHVPTOC1</t>
  </si>
  <si>
    <t>Срабатывание ЗОП на сигнал</t>
  </si>
  <si>
    <t>Сраб.сигн ЗОП</t>
  </si>
  <si>
    <t>OpOnSignalLVNSTOC</t>
  </si>
  <si>
    <t>Неисправность цепей напряжения</t>
  </si>
  <si>
    <t>Неисправность ЦН</t>
  </si>
  <si>
    <t>AlmLVRBVTR</t>
  </si>
  <si>
    <t>Срабатывание общей логики отключения трансформатора</t>
  </si>
  <si>
    <t>Сраб. ЛО Т</t>
  </si>
  <si>
    <t>OpPTRC</t>
  </si>
  <si>
    <t>Сраб. УРОВ</t>
  </si>
  <si>
    <t>OpEx_TPBRF</t>
  </si>
  <si>
    <t>Сраб. УРОВ на себя</t>
  </si>
  <si>
    <t>OpIn_TPBRF</t>
  </si>
  <si>
    <t>FailureCB</t>
  </si>
  <si>
    <t>Сигнализация от ГЗ</t>
  </si>
  <si>
    <t>ГЗ сигн</t>
  </si>
  <si>
    <t>GASSign_ALHAPC</t>
  </si>
  <si>
    <t>Низкая изоляция ГЗ</t>
  </si>
  <si>
    <t>Низ.изол. ГЗ</t>
  </si>
  <si>
    <t>LowIsolGAS_ALHAPC</t>
  </si>
  <si>
    <t>ГЗ заблокирована</t>
  </si>
  <si>
    <t>GASBlock_ALHAPC</t>
  </si>
  <si>
    <t>Сигнализация от ТЗ</t>
  </si>
  <si>
    <t>ТЗ сигн</t>
  </si>
  <si>
    <t>TECHSign_ALHAPC</t>
  </si>
  <si>
    <t>Низкая изоляция ТЗ</t>
  </si>
  <si>
    <t>Низ.изол. ТЗ</t>
  </si>
  <si>
    <t>LowIsolTECH_ALHAPC</t>
  </si>
  <si>
    <t>ТЗ заблокирована</t>
  </si>
  <si>
    <t>TECHBlock_ALHAPC</t>
  </si>
  <si>
    <t>Сигнализация от ТС</t>
  </si>
  <si>
    <t>ТС сигн</t>
  </si>
  <si>
    <t>ALMSign_ALHAPC</t>
  </si>
  <si>
    <t>Контроль оперативного тока</t>
  </si>
  <si>
    <t>ОТ сигн</t>
  </si>
  <si>
    <t>OCSign_ALHAPC</t>
  </si>
  <si>
    <t>Контроль оперативного тока НН</t>
  </si>
  <si>
    <t>ОТ НН сигн</t>
  </si>
  <si>
    <t>OCnnSign_ALHAPC</t>
  </si>
  <si>
    <t>Внешнее отключение</t>
  </si>
  <si>
    <t>Внеш. откл</t>
  </si>
  <si>
    <t>OpExt_ALHAPC</t>
  </si>
  <si>
    <t>Выходные цепи разобраны</t>
  </si>
  <si>
    <t>Вых.цепи разобраны</t>
  </si>
  <si>
    <t>CtlCir_ALHAPC</t>
  </si>
  <si>
    <t>БИ выведены</t>
  </si>
  <si>
    <t>TestBlock_ALHAPC</t>
  </si>
  <si>
    <t>Превышение времени переключения КА</t>
  </si>
  <si>
    <t>Прев. вр. пер. КА</t>
  </si>
  <si>
    <t>SwOperExcTim</t>
  </si>
  <si>
    <t>Общий внешний сигнал от СС</t>
  </si>
  <si>
    <t>Общ. внеш. сигн. СС</t>
  </si>
  <si>
    <t>ExtSignGen</t>
  </si>
  <si>
    <t>Неисправность терминала</t>
  </si>
  <si>
    <t>Пуск (импульс)</t>
  </si>
  <si>
    <t>SGF14</t>
  </si>
  <si>
    <t>CALH1_GASSign_Ctl</t>
  </si>
  <si>
    <t>CALH1_LowIsolGAS_Ctl</t>
  </si>
  <si>
    <t>CALH1_GASBlock_Ctl</t>
  </si>
  <si>
    <t>CALH1_TECHSign_Ctl</t>
  </si>
  <si>
    <t>CALH1_LowIsolTECH_Ctl</t>
  </si>
  <si>
    <t>CALH1_TECHBlock_Ctl</t>
  </si>
  <si>
    <t>CALH1_ALMSign_Ctl</t>
  </si>
  <si>
    <t>CALH1_OCSign_Ctl</t>
  </si>
  <si>
    <t>CALH1_OCnnSign_Ctl</t>
  </si>
  <si>
    <t>CALH1_OpExt_Ctl</t>
  </si>
  <si>
    <t>CALH1_CtlCir_Ctl</t>
  </si>
  <si>
    <t>CALH1_TestBlock_Ctl</t>
  </si>
  <si>
    <t>CALH1_SwOperExcTim_Ctl</t>
  </si>
  <si>
    <t>CALH1_ExtSignGen_Ctl</t>
  </si>
  <si>
    <t>Контроль сигнала «ГЗ сигн»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</si>
  <si>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</si>
  <si>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</si>
  <si>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</si>
  <si>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«ТЗ сигн»</t>
  </si>
  <si>
    <t>Контроль сигнала «Низ. изол. ТЗ»</t>
  </si>
  <si>
    <t>Контр_Низ_изол_ТЗ</t>
  </si>
  <si>
    <t>Контроль сигнала «ТЗ заблокирована»</t>
  </si>
  <si>
    <t>Контроль сигнала «ТС сигн»</t>
  </si>
  <si>
    <t>Контр_ТС_сигн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</si>
  <si>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</si>
  <si>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</si>
  <si>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</si>
  <si>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</si>
  <si>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</si>
  <si>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</si>
  <si>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</si>
  <si>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</si>
  <si>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</si>
  <si>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Контроль сигнала «Прев. вр. пер. КА»</t>
  </si>
  <si>
    <t>Контр_Вр_пркл_КА</t>
  </si>
  <si>
    <t>Контр_общ_внеш_сигн</t>
  </si>
  <si>
    <t>control</t>
  </si>
  <si>
    <t>Logger</t>
  </si>
  <si>
    <t>Disturber</t>
  </si>
  <si>
    <t>StartDisturber</t>
  </si>
  <si>
    <t>status</t>
  </si>
  <si>
    <t>DescriptionFB</t>
  </si>
  <si>
    <t>Предупредительная сигнализация</t>
  </si>
  <si>
    <t>DescriptionFuncList</t>
  </si>
  <si>
    <t>T_LVALH</t>
  </si>
  <si>
    <t>Срабатывание УРОВ &lt;&lt;на себя&gt;&gt;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</si>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</sst>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5" borderId="2" xfId="1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1"/>
  <sheetViews>
    <sheetView zoomScale="80" zoomScaleNormal="8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9" t="s">
        <v>0</v>
      </c>
      <c r="BA1" s="60"/>
      <c r="BB1" s="60"/>
      <c r="BC1" s="60"/>
      <c r="BD1" s="60"/>
      <c r="BE1" s="60"/>
      <c r="BF1" s="60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4" t="s">
        <v>245</v>
      </c>
      <c r="AW2" s="54" t="s">
        <v>246</v>
      </c>
      <c r="AX2" s="54" t="s">
        <v>247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53" t="s">
        <v>244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31">
        <v>0</v>
      </c>
      <c r="AU3" s="31">
        <v>0</v>
      </c>
      <c r="AV3" s="31">
        <f t="shared" ref="AV3" si="2">BIN2DEC(CONCATENATE(0,0,0,0,AR3,AS3,AT3,AU3))</f>
        <v>0</v>
      </c>
      <c r="AW3" s="31">
        <v>0</v>
      </c>
      <c r="AX3" s="31">
        <f t="shared" ref="AX3:AX40" si="3">BIN2DEC(CONCATENATE(0,0,0,0,AT3,AU3,AV3,AW3))</f>
        <v>0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117</v>
      </c>
      <c r="F4" s="26" t="s">
        <v>118</v>
      </c>
      <c r="G4" s="26" t="s">
        <v>118</v>
      </c>
      <c r="H4" s="25"/>
      <c r="I4" s="25">
        <f t="shared" ref="I4:I6" si="5">LEN(F4)</f>
        <v>12</v>
      </c>
      <c r="J4" s="25" t="str">
        <f t="shared" si="1"/>
        <v>Сраб.сигн ТО</v>
      </c>
      <c r="K4" s="23" t="s">
        <v>119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6">BIN2DEC(CONCATENATE(0,0,0,0,AR4,AS4,AT4,AU4))</f>
        <v>0</v>
      </c>
      <c r="AW4" s="31">
        <v>0</v>
      </c>
      <c r="AX4" s="31">
        <f t="shared" si="3"/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ТО", note: "Срабатывание ТО на сигнал",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120</v>
      </c>
      <c r="F5" s="26" t="s">
        <v>121</v>
      </c>
      <c r="G5" s="26" t="s">
        <v>121</v>
      </c>
      <c r="H5" s="25"/>
      <c r="I5" s="25">
        <f t="shared" si="5"/>
        <v>18</v>
      </c>
      <c r="J5" s="25" t="str">
        <f t="shared" si="1"/>
        <v>Сраб.сигн МТЗ 1ст.</v>
      </c>
      <c r="K5" s="23" t="s">
        <v>81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6"/>
        <v>0</v>
      </c>
      <c r="AW5" s="31">
        <v>0</v>
      </c>
      <c r="AX5" s="31">
        <f t="shared" si="3"/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7"/>
        <v>description: "Сраб.сигн МТЗ 1ст.", note: "Срабатывание 1 ступени МТЗ на сигнал",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122</v>
      </c>
      <c r="F6" s="26" t="s">
        <v>123</v>
      </c>
      <c r="G6" s="26" t="s">
        <v>123</v>
      </c>
      <c r="H6" s="25"/>
      <c r="I6" s="25">
        <f t="shared" si="5"/>
        <v>18</v>
      </c>
      <c r="J6" s="25" t="str">
        <f t="shared" si="1"/>
        <v>Сраб.сигн МТЗ 2ст.</v>
      </c>
      <c r="K6" s="23" t="s">
        <v>82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6"/>
        <v>0</v>
      </c>
      <c r="AW6" s="31">
        <v>0</v>
      </c>
      <c r="AX6" s="31">
        <f t="shared" si="3"/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7"/>
        <v>description: "Сраб.сигн МТЗ 2ст.", note: "Срабатывание 2 ступени МТЗ на сигнал",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124</v>
      </c>
      <c r="F7" s="26" t="s">
        <v>125</v>
      </c>
      <c r="G7" s="26" t="s">
        <v>125</v>
      </c>
      <c r="H7" s="25"/>
      <c r="I7" s="25">
        <f t="shared" ref="I7:I8" si="8">LEN(F7)</f>
        <v>18</v>
      </c>
      <c r="J7" s="25" t="str">
        <f t="shared" si="1"/>
        <v>Сраб.сигн МТЗ 3ст.</v>
      </c>
      <c r="K7" s="23" t="s">
        <v>83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9">BIN2DEC(CONCATENATE(0,0,0,0,AR7,AS7,AT7,AU7))</f>
        <v>0</v>
      </c>
      <c r="AW7" s="31">
        <v>0</v>
      </c>
      <c r="AX7" s="31">
        <f t="shared" si="3"/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10">CONCATENATE("description: """,F7,"""", ", ", "note: """,E7,"""",", ","group: """, B7, """",", ","minValue: ", S7,", ","maxValue: ", T7,", ","step: ", U7,", ","units: """, R7, """",", ","defaultValue: ", X7,", ","eventRegistration: ", Y7,)</f>
        <v>description: "Сраб.сигн МТЗ 3ст.", note: "Срабатывание 3 ступени МТЗ на сигнал",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126</v>
      </c>
      <c r="F8" s="26" t="s">
        <v>127</v>
      </c>
      <c r="G8" s="26" t="s">
        <v>127</v>
      </c>
      <c r="H8" s="25"/>
      <c r="I8" s="25">
        <f t="shared" si="8"/>
        <v>19</v>
      </c>
      <c r="J8" s="25" t="str">
        <f t="shared" si="1"/>
        <v>Сраб.сигн ЛО ГЗсигн</v>
      </c>
      <c r="K8" s="23" t="s">
        <v>84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9"/>
        <v>0</v>
      </c>
      <c r="AW8" s="31">
        <v>0</v>
      </c>
      <c r="AX8" s="31">
        <f t="shared" si="3"/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10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128</v>
      </c>
      <c r="F9" s="26" t="s">
        <v>129</v>
      </c>
      <c r="G9" s="26" t="s">
        <v>129</v>
      </c>
      <c r="H9" s="25"/>
      <c r="I9" s="25">
        <f t="shared" ref="I9:I33" si="11">LEN(F9)</f>
        <v>19</v>
      </c>
      <c r="J9" s="25" t="str">
        <f t="shared" ref="J9:J33" si="12">IF(LEN(F9)&lt;=$J$1,F9,"")</f>
        <v>Сраб.сигн ЛО ГЗоткл</v>
      </c>
      <c r="K9" s="23" t="s">
        <v>130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3" si="13">BIN2DEC(CONCATENATE(0,0,0,0,AR9,AS9,AT9,AU9))</f>
        <v>0</v>
      </c>
      <c r="AW9" s="31">
        <v>0</v>
      </c>
      <c r="AX9" s="31">
        <f t="shared" si="3"/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3" si="14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131</v>
      </c>
      <c r="F10" s="26" t="s">
        <v>132</v>
      </c>
      <c r="G10" s="26" t="s">
        <v>132</v>
      </c>
      <c r="H10" s="25"/>
      <c r="I10" s="25">
        <f t="shared" si="11"/>
        <v>19</v>
      </c>
      <c r="J10" s="25" t="str">
        <f t="shared" si="12"/>
        <v>Сраб.сигн ЛО ГЗ РПН</v>
      </c>
      <c r="K10" s="23" t="s">
        <v>133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3"/>
        <v>0</v>
      </c>
      <c r="AW10" s="31">
        <v>0</v>
      </c>
      <c r="AX10" s="31">
        <f t="shared" si="3"/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4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134</v>
      </c>
      <c r="F11" s="26" t="s">
        <v>135</v>
      </c>
      <c r="G11" s="26" t="s">
        <v>135</v>
      </c>
      <c r="H11" s="25"/>
      <c r="I11" s="25">
        <f t="shared" si="11"/>
        <v>16</v>
      </c>
      <c r="J11" s="25" t="str">
        <f t="shared" si="12"/>
        <v>Сраб.сигн ЛО ДТм</v>
      </c>
      <c r="K11" s="23" t="s">
        <v>85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3"/>
        <v>0</v>
      </c>
      <c r="AW11" s="31">
        <v>0</v>
      </c>
      <c r="AX11" s="31">
        <f t="shared" si="3"/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4"/>
        <v>description: "Сраб.сигн ЛО ДТм", note: "Срабатывание ЛО ДТм",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136</v>
      </c>
      <c r="F12" s="26" t="s">
        <v>137</v>
      </c>
      <c r="G12" s="26" t="s">
        <v>137</v>
      </c>
      <c r="H12" s="25"/>
      <c r="I12" s="25">
        <f t="shared" si="11"/>
        <v>16</v>
      </c>
      <c r="J12" s="25" t="str">
        <f t="shared" si="12"/>
        <v>Сраб.сигн ЛО ДТо</v>
      </c>
      <c r="K12" s="23" t="s">
        <v>86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3"/>
        <v>0</v>
      </c>
      <c r="AW12" s="31">
        <v>0</v>
      </c>
      <c r="AX12" s="31">
        <f t="shared" si="3"/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4"/>
        <v>description: "Сраб.сигн ЛО ДТо", note: "Срабатывание ЛО ДТо",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138</v>
      </c>
      <c r="F13" s="26" t="s">
        <v>139</v>
      </c>
      <c r="G13" s="26" t="s">
        <v>139</v>
      </c>
      <c r="H13" s="25"/>
      <c r="I13" s="25">
        <f t="shared" si="11"/>
        <v>15</v>
      </c>
      <c r="J13" s="25" t="str">
        <f t="shared" si="12"/>
        <v>Сраб.сигн ЛО РД</v>
      </c>
      <c r="K13" s="23" t="s">
        <v>87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3"/>
        <v>0</v>
      </c>
      <c r="AW13" s="31">
        <v>0</v>
      </c>
      <c r="AX13" s="31">
        <f t="shared" si="3"/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4"/>
        <v>description: "Сраб.сигн ЛО РД", note: "Срабатывание ЛО РД на сигнал",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140</v>
      </c>
      <c r="F14" s="26" t="s">
        <v>141</v>
      </c>
      <c r="G14" s="26" t="s">
        <v>141</v>
      </c>
      <c r="H14" s="25"/>
      <c r="I14" s="25">
        <f t="shared" si="11"/>
        <v>15</v>
      </c>
      <c r="J14" s="25" t="str">
        <f t="shared" si="12"/>
        <v>Сраб.сигн ЛО ПК</v>
      </c>
      <c r="K14" s="23" t="s">
        <v>142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3"/>
        <v>0</v>
      </c>
      <c r="AW14" s="31">
        <v>0</v>
      </c>
      <c r="AX14" s="31">
        <f t="shared" si="3"/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4"/>
        <v>description: "Сраб.сигн ЛО ПК", note: "Срабатывание ЛО ПК на сигнал",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143</v>
      </c>
      <c r="F15" s="26" t="s">
        <v>144</v>
      </c>
      <c r="G15" s="26" t="s">
        <v>144</v>
      </c>
      <c r="H15" s="25"/>
      <c r="I15" s="25">
        <f t="shared" si="11"/>
        <v>15</v>
      </c>
      <c r="J15" s="25" t="str">
        <f t="shared" si="12"/>
        <v>Сраб.сигн ЛО ОК</v>
      </c>
      <c r="K15" s="23" t="s">
        <v>145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3"/>
        <v>0</v>
      </c>
      <c r="AW15" s="31">
        <v>0</v>
      </c>
      <c r="AX15" s="31">
        <f t="shared" si="3"/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4"/>
        <v>description: "Сраб.сигн ЛО ОК", note: "Срабатывание ЛО ОК на сигнал",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146</v>
      </c>
      <c r="F16" s="26" t="s">
        <v>147</v>
      </c>
      <c r="G16" s="26" t="s">
        <v>147</v>
      </c>
      <c r="H16" s="25"/>
      <c r="I16" s="25">
        <f t="shared" si="11"/>
        <v>18</v>
      </c>
      <c r="J16" s="25" t="str">
        <f t="shared" si="12"/>
        <v>Сраб.сигн ЛО ДУм Р</v>
      </c>
      <c r="K16" s="23" t="s">
        <v>148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3"/>
        <v>0</v>
      </c>
      <c r="AW16" s="31">
        <v>0</v>
      </c>
      <c r="AX16" s="31">
        <f t="shared" si="3"/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4"/>
        <v>description: "Сраб.сигн ЛО ДУм Р", note: "Срабатывание ЛО ДУм расширителя на сигнал",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149</v>
      </c>
      <c r="F17" s="26" t="s">
        <v>150</v>
      </c>
      <c r="G17" s="26" t="s">
        <v>150</v>
      </c>
      <c r="H17" s="25"/>
      <c r="I17" s="25">
        <f t="shared" si="11"/>
        <v>8</v>
      </c>
      <c r="J17" s="25" t="str">
        <f t="shared" si="12"/>
        <v>Сраб. ЗП</v>
      </c>
      <c r="K17" s="23" t="s">
        <v>151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3"/>
        <v>0</v>
      </c>
      <c r="AW17" s="31">
        <v>0</v>
      </c>
      <c r="AX17" s="31">
        <f t="shared" si="3"/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4"/>
        <v>description: "Сраб. ЗП", note: "Срабатывание ЗП",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152</v>
      </c>
      <c r="F18" s="26" t="s">
        <v>153</v>
      </c>
      <c r="G18" s="26" t="s">
        <v>153</v>
      </c>
      <c r="H18" s="25"/>
      <c r="I18" s="25">
        <f t="shared" si="11"/>
        <v>13</v>
      </c>
      <c r="J18" s="25" t="str">
        <f t="shared" si="12"/>
        <v>Сраб.сигн ЗОП</v>
      </c>
      <c r="K18" s="23" t="s">
        <v>154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3"/>
        <v>0</v>
      </c>
      <c r="AW18" s="31">
        <v>0</v>
      </c>
      <c r="AX18" s="31">
        <f t="shared" si="3"/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4"/>
        <v>description: "Сраб.сигн ЗОП", note: "Срабатывание ЗОП на сигнал",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155</v>
      </c>
      <c r="F19" s="26" t="s">
        <v>156</v>
      </c>
      <c r="G19" s="26" t="s">
        <v>156</v>
      </c>
      <c r="H19" s="25"/>
      <c r="I19" s="25">
        <f t="shared" si="11"/>
        <v>16</v>
      </c>
      <c r="J19" s="25" t="str">
        <f t="shared" si="12"/>
        <v>Неисправность ЦН</v>
      </c>
      <c r="K19" s="23" t="s">
        <v>157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3"/>
        <v>0</v>
      </c>
      <c r="AW19" s="31">
        <v>0</v>
      </c>
      <c r="AX19" s="31">
        <f t="shared" si="3"/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4"/>
        <v>description: "Неисправность ЦН", note: "Неисправность цепей напряжения",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158</v>
      </c>
      <c r="F20" s="26" t="s">
        <v>159</v>
      </c>
      <c r="G20" s="26" t="s">
        <v>159</v>
      </c>
      <c r="H20" s="25"/>
      <c r="I20" s="25">
        <f t="shared" si="11"/>
        <v>10</v>
      </c>
      <c r="J20" s="25" t="str">
        <f t="shared" si="12"/>
        <v>Сраб. ЛО Т</v>
      </c>
      <c r="K20" s="23" t="s">
        <v>160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3"/>
        <v>0</v>
      </c>
      <c r="AW20" s="31">
        <v>0</v>
      </c>
      <c r="AX20" s="31">
        <f t="shared" si="3"/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4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93</v>
      </c>
      <c r="F21" s="26" t="s">
        <v>161</v>
      </c>
      <c r="G21" s="26" t="s">
        <v>161</v>
      </c>
      <c r="H21" s="25"/>
      <c r="I21" s="25">
        <f t="shared" si="11"/>
        <v>10</v>
      </c>
      <c r="J21" s="25" t="str">
        <f t="shared" si="12"/>
        <v>Сраб. УРОВ</v>
      </c>
      <c r="K21" s="23" t="s">
        <v>162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3"/>
        <v>0</v>
      </c>
      <c r="AW21" s="31">
        <v>0</v>
      </c>
      <c r="AX21" s="31">
        <f t="shared" si="3"/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4"/>
        <v>description: "Сраб. УРОВ", note: "Срабатывание УРОВ",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58" t="s">
        <v>253</v>
      </c>
      <c r="F22" s="26" t="s">
        <v>163</v>
      </c>
      <c r="G22" s="26" t="s">
        <v>163</v>
      </c>
      <c r="H22" s="25"/>
      <c r="I22" s="25">
        <f t="shared" si="11"/>
        <v>18</v>
      </c>
      <c r="J22" s="25" t="str">
        <f t="shared" si="12"/>
        <v>Сраб. УРОВ на себя</v>
      </c>
      <c r="K22" s="23" t="s">
        <v>164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3"/>
        <v>0</v>
      </c>
      <c r="AW22" s="31">
        <v>0</v>
      </c>
      <c r="AX22" s="31">
        <f t="shared" si="3"/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4"/>
        <v>description: "Сраб. УРОВ на себя", note: "Срабатывание УРОВ &lt;&lt;на себя&gt;&gt;",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90</v>
      </c>
      <c r="F23" s="26" t="s">
        <v>91</v>
      </c>
      <c r="G23" s="26" t="s">
        <v>91</v>
      </c>
      <c r="H23" s="25"/>
      <c r="I23" s="25">
        <f t="shared" si="11"/>
        <v>17</v>
      </c>
      <c r="J23" s="25" t="str">
        <f t="shared" si="12"/>
        <v>Превышен ресурс В</v>
      </c>
      <c r="K23" s="23" t="s">
        <v>92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3"/>
        <v>0</v>
      </c>
      <c r="AW23" s="31">
        <v>0</v>
      </c>
      <c r="AX23" s="31">
        <f t="shared" si="3"/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4"/>
        <v>description: "Превышен ресурс В", note: "Превышен ресурс выключателя",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88</v>
      </c>
      <c r="F24" s="26" t="s">
        <v>89</v>
      </c>
      <c r="G24" s="26" t="s">
        <v>89</v>
      </c>
      <c r="H24" s="25"/>
      <c r="I24" s="25">
        <f t="shared" si="11"/>
        <v>15</v>
      </c>
      <c r="J24" s="25" t="str">
        <f t="shared" si="12"/>
        <v>Неисправность В</v>
      </c>
      <c r="K24" s="23" t="s">
        <v>165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3"/>
        <v>0</v>
      </c>
      <c r="AW24" s="31">
        <v>0</v>
      </c>
      <c r="AX24" s="31">
        <f t="shared" si="3"/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4"/>
        <v>description: "Неисправность В", note: "Неисправность выключателя",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94</v>
      </c>
      <c r="F25" s="26" t="s">
        <v>95</v>
      </c>
      <c r="G25" s="26" t="s">
        <v>95</v>
      </c>
      <c r="H25" s="25"/>
      <c r="I25" s="25">
        <f t="shared" si="11"/>
        <v>18</v>
      </c>
      <c r="J25" s="25" t="str">
        <f t="shared" si="12"/>
        <v>В самопр. отключен</v>
      </c>
      <c r="K25" s="23" t="s">
        <v>96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3"/>
        <v>0</v>
      </c>
      <c r="AW25" s="31">
        <v>0</v>
      </c>
      <c r="AX25" s="31">
        <f t="shared" si="3"/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4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166</v>
      </c>
      <c r="F26" s="26" t="s">
        <v>167</v>
      </c>
      <c r="G26" s="26" t="s">
        <v>167</v>
      </c>
      <c r="H26" s="25"/>
      <c r="I26" s="25">
        <f t="shared" si="11"/>
        <v>7</v>
      </c>
      <c r="J26" s="25" t="str">
        <f t="shared" si="12"/>
        <v>ГЗ сигн</v>
      </c>
      <c r="K26" s="23" t="s">
        <v>168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3"/>
        <v>0</v>
      </c>
      <c r="AW26" s="31">
        <v>0</v>
      </c>
      <c r="AX26" s="31">
        <f t="shared" si="3"/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4"/>
        <v>description: "ГЗ сигн", note: "Сигнализация от ГЗ",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169</v>
      </c>
      <c r="F27" s="26" t="s">
        <v>170</v>
      </c>
      <c r="G27" s="26" t="s">
        <v>170</v>
      </c>
      <c r="H27" s="25"/>
      <c r="I27" s="25">
        <f t="shared" si="11"/>
        <v>12</v>
      </c>
      <c r="J27" s="25" t="str">
        <f t="shared" si="12"/>
        <v>Низ.изол. ГЗ</v>
      </c>
      <c r="K27" s="23" t="s">
        <v>171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3"/>
        <v>0</v>
      </c>
      <c r="AW27" s="31">
        <v>0</v>
      </c>
      <c r="AX27" s="31">
        <f t="shared" si="3"/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4"/>
        <v>description: "Низ.изол. ГЗ", note: "Низкая изоляция ГЗ",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172</v>
      </c>
      <c r="F28" s="26" t="s">
        <v>172</v>
      </c>
      <c r="G28" s="26" t="s">
        <v>172</v>
      </c>
      <c r="H28" s="25"/>
      <c r="I28" s="25">
        <f t="shared" si="11"/>
        <v>16</v>
      </c>
      <c r="J28" s="25" t="str">
        <f t="shared" si="12"/>
        <v>ГЗ заблокирована</v>
      </c>
      <c r="K28" s="23" t="s">
        <v>173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3"/>
        <v>0</v>
      </c>
      <c r="AW28" s="31">
        <v>0</v>
      </c>
      <c r="AX28" s="31">
        <f t="shared" si="3"/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4"/>
        <v>description: "ГЗ заблокирована", note: "ГЗ заблокирована",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174</v>
      </c>
      <c r="F29" s="26" t="s">
        <v>175</v>
      </c>
      <c r="G29" s="26" t="s">
        <v>175</v>
      </c>
      <c r="H29" s="25"/>
      <c r="I29" s="25">
        <f t="shared" si="11"/>
        <v>7</v>
      </c>
      <c r="J29" s="25" t="str">
        <f t="shared" si="12"/>
        <v>ТЗ сигн</v>
      </c>
      <c r="K29" s="23" t="s">
        <v>176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3"/>
        <v>0</v>
      </c>
      <c r="AW29" s="31">
        <v>0</v>
      </c>
      <c r="AX29" s="31">
        <f t="shared" si="3"/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4"/>
        <v>description: "ТЗ сигн", note: "Сигнализация от ТЗ",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177</v>
      </c>
      <c r="F30" s="26" t="s">
        <v>178</v>
      </c>
      <c r="G30" s="26" t="s">
        <v>178</v>
      </c>
      <c r="H30" s="25"/>
      <c r="I30" s="25">
        <f t="shared" si="11"/>
        <v>12</v>
      </c>
      <c r="J30" s="25" t="str">
        <f t="shared" si="12"/>
        <v>Низ.изол. ТЗ</v>
      </c>
      <c r="K30" s="23" t="s">
        <v>179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3"/>
        <v>0</v>
      </c>
      <c r="AW30" s="31">
        <v>0</v>
      </c>
      <c r="AX30" s="31">
        <f t="shared" si="3"/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4"/>
        <v>description: "Низ.изол. ТЗ", note: "Низкая изоляция ТЗ",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180</v>
      </c>
      <c r="F31" s="26" t="s">
        <v>180</v>
      </c>
      <c r="G31" s="26" t="s">
        <v>180</v>
      </c>
      <c r="H31" s="25"/>
      <c r="I31" s="25">
        <f t="shared" si="11"/>
        <v>16</v>
      </c>
      <c r="J31" s="25" t="str">
        <f t="shared" si="12"/>
        <v>ТЗ заблокирована</v>
      </c>
      <c r="K31" s="23" t="s">
        <v>181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3"/>
        <v>0</v>
      </c>
      <c r="AW31" s="31">
        <v>0</v>
      </c>
      <c r="AX31" s="31">
        <f t="shared" si="3"/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4"/>
        <v>description: "ТЗ заблокирована", note: "ТЗ заблокирована", group: "measurement", minValue: null, maxValue: null, step: null, units: "null", defaultValue: null, eventRegistration: 0</v>
      </c>
      <c r="BH31" s="37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182</v>
      </c>
      <c r="F32" s="26" t="s">
        <v>183</v>
      </c>
      <c r="G32" s="26" t="s">
        <v>183</v>
      </c>
      <c r="H32" s="25"/>
      <c r="I32" s="25">
        <f t="shared" si="11"/>
        <v>7</v>
      </c>
      <c r="J32" s="25" t="str">
        <f t="shared" si="12"/>
        <v>ТС сигн</v>
      </c>
      <c r="K32" s="23" t="s">
        <v>184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3"/>
        <v>0</v>
      </c>
      <c r="AW32" s="31">
        <v>0</v>
      </c>
      <c r="AX32" s="31">
        <f t="shared" si="3"/>
        <v>0</v>
      </c>
      <c r="AY32" s="31"/>
      <c r="AZ32" s="28"/>
      <c r="BA32" s="31"/>
      <c r="BB32" s="31"/>
      <c r="BC32" s="34"/>
      <c r="BD32" s="31"/>
      <c r="BE32" s="35"/>
      <c r="BF32" s="31"/>
      <c r="BG32" s="36" t="str">
        <f t="shared" si="14"/>
        <v>description: "ТС сигн", note: "Сигнализация от ТС", group: "measurement", minValue: null, maxValue: null, step: null, units: "null", defaultValue: null, eventRegistration: 0</v>
      </c>
      <c r="BH32" s="37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185</v>
      </c>
      <c r="F33" s="26" t="s">
        <v>186</v>
      </c>
      <c r="G33" s="26" t="s">
        <v>186</v>
      </c>
      <c r="H33" s="25"/>
      <c r="I33" s="25">
        <f t="shared" si="11"/>
        <v>7</v>
      </c>
      <c r="J33" s="25" t="str">
        <f t="shared" si="12"/>
        <v>ОТ сигн</v>
      </c>
      <c r="K33" s="23" t="s">
        <v>187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si="13"/>
        <v>0</v>
      </c>
      <c r="AW33" s="31">
        <v>0</v>
      </c>
      <c r="AX33" s="31">
        <f t="shared" si="3"/>
        <v>0</v>
      </c>
      <c r="AY33" s="31"/>
      <c r="AZ33" s="28"/>
      <c r="BA33" s="31"/>
      <c r="BB33" s="31"/>
      <c r="BC33" s="34"/>
      <c r="BD33" s="31"/>
      <c r="BE33" s="35"/>
      <c r="BF33" s="31"/>
      <c r="BG33" s="36" t="str">
        <f t="shared" si="14"/>
        <v>description: "ОТ сигн", note: "Контроль оперативного тока", group: "measurement", minValue: null, maxValue: null, step: null, units: "null", defaultValue: null, eventRegistration: 0</v>
      </c>
      <c r="BH33" s="37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188</v>
      </c>
      <c r="F34" s="26" t="s">
        <v>189</v>
      </c>
      <c r="G34" s="26" t="s">
        <v>189</v>
      </c>
      <c r="H34" s="25"/>
      <c r="I34" s="25">
        <f t="shared" ref="I34:I40" si="15">LEN(F34)</f>
        <v>10</v>
      </c>
      <c r="J34" s="25" t="str">
        <f t="shared" ref="J34:J40" si="16">IF(LEN(F34)&lt;=$J$1,F34,"")</f>
        <v>ОТ НН сигн</v>
      </c>
      <c r="K34" s="23" t="s">
        <v>190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ref="AV34:AV40" si="17">BIN2DEC(CONCATENATE(0,0,0,0,AR34,AS34,AT34,AU34))</f>
        <v>0</v>
      </c>
      <c r="AW34" s="31">
        <v>0</v>
      </c>
      <c r="AX34" s="31">
        <f t="shared" si="3"/>
        <v>0</v>
      </c>
      <c r="AY34" s="31"/>
      <c r="AZ34" s="28"/>
      <c r="BA34" s="31"/>
      <c r="BB34" s="31"/>
      <c r="BC34" s="34"/>
      <c r="BD34" s="31"/>
      <c r="BE34" s="35"/>
      <c r="BF34" s="31"/>
      <c r="BG34" s="36" t="str">
        <f t="shared" ref="BG34:BG40" si="18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"ОТ НН сигн", note: "Контроль оперативного тока НН", group: "measurement", minValue: null, maxValue: null, step: null, units: "null", defaultValue: null, eventRegistration: 0</v>
      </c>
      <c r="BH34" s="37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191</v>
      </c>
      <c r="F35" s="26" t="s">
        <v>192</v>
      </c>
      <c r="G35" s="26" t="s">
        <v>192</v>
      </c>
      <c r="H35" s="25"/>
      <c r="I35" s="25">
        <f t="shared" si="15"/>
        <v>10</v>
      </c>
      <c r="J35" s="25" t="str">
        <f t="shared" si="16"/>
        <v>Внеш. откл</v>
      </c>
      <c r="K35" s="23" t="s">
        <v>193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7"/>
        <v>0</v>
      </c>
      <c r="AW35" s="31">
        <v>0</v>
      </c>
      <c r="AX35" s="31">
        <f t="shared" si="3"/>
        <v>0</v>
      </c>
      <c r="AY35" s="31"/>
      <c r="AZ35" s="28"/>
      <c r="BA35" s="31"/>
      <c r="BB35" s="31"/>
      <c r="BC35" s="34"/>
      <c r="BD35" s="31"/>
      <c r="BE35" s="35"/>
      <c r="BF35" s="31"/>
      <c r="BG35" s="36" t="str">
        <f t="shared" si="18"/>
        <v>description: "Внеш. откл", note: "Внешнее отключение", group: "measurement", minValue: null, maxValue: null, step: null, units: "null", defaultValue: null, eventRegistration: 0</v>
      </c>
      <c r="BH35" s="37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194</v>
      </c>
      <c r="F36" s="26" t="s">
        <v>195</v>
      </c>
      <c r="G36" s="26" t="s">
        <v>195</v>
      </c>
      <c r="H36" s="25"/>
      <c r="I36" s="25">
        <f t="shared" si="15"/>
        <v>18</v>
      </c>
      <c r="J36" s="25" t="str">
        <f t="shared" si="16"/>
        <v>Вых.цепи разобраны</v>
      </c>
      <c r="K36" s="23" t="s">
        <v>196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7"/>
        <v>0</v>
      </c>
      <c r="AW36" s="31">
        <v>0</v>
      </c>
      <c r="AX36" s="31">
        <f t="shared" si="3"/>
        <v>0</v>
      </c>
      <c r="AY36" s="31"/>
      <c r="AZ36" s="28"/>
      <c r="BA36" s="31"/>
      <c r="BB36" s="31"/>
      <c r="BC36" s="34"/>
      <c r="BD36" s="31"/>
      <c r="BE36" s="35"/>
      <c r="BF36" s="31"/>
      <c r="BG36" s="36" t="str">
        <f t="shared" si="18"/>
        <v>description: "Вых.цепи разобраны", note: "Выходные цепи разобраны", group: "measurement", minValue: null, maxValue: null, step: null, units: "null", defaultValue: null, eventRegistration: 0</v>
      </c>
      <c r="BH36" s="37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197</v>
      </c>
      <c r="F37" s="26" t="s">
        <v>197</v>
      </c>
      <c r="G37" s="26" t="s">
        <v>197</v>
      </c>
      <c r="H37" s="25"/>
      <c r="I37" s="25">
        <f t="shared" si="15"/>
        <v>11</v>
      </c>
      <c r="J37" s="25" t="str">
        <f t="shared" si="16"/>
        <v>БИ выведены</v>
      </c>
      <c r="K37" s="23" t="s">
        <v>198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7"/>
        <v>0</v>
      </c>
      <c r="AW37" s="31">
        <v>0</v>
      </c>
      <c r="AX37" s="31">
        <f t="shared" si="3"/>
        <v>0</v>
      </c>
      <c r="AY37" s="31"/>
      <c r="AZ37" s="28"/>
      <c r="BA37" s="31"/>
      <c r="BB37" s="31"/>
      <c r="BC37" s="34"/>
      <c r="BD37" s="31"/>
      <c r="BE37" s="35"/>
      <c r="BF37" s="31"/>
      <c r="BG37" s="36" t="str">
        <f t="shared" si="18"/>
        <v>description: "БИ выведены", note: "БИ выведены", group: "measurement", minValue: null, maxValue: null, step: null, units: "null", defaultValue: null, eventRegistration: 0</v>
      </c>
      <c r="BH37" s="37"/>
    </row>
    <row r="38" spans="1:60" s="1" customFormat="1" ht="16.5" customHeight="1" x14ac:dyDescent="0.25">
      <c r="A38" s="23"/>
      <c r="B38" s="23" t="s">
        <v>50</v>
      </c>
      <c r="C38" s="24"/>
      <c r="D38" s="2"/>
      <c r="E38" s="25" t="s">
        <v>199</v>
      </c>
      <c r="F38" s="26" t="s">
        <v>200</v>
      </c>
      <c r="G38" s="26" t="s">
        <v>200</v>
      </c>
      <c r="H38" s="25"/>
      <c r="I38" s="25">
        <f t="shared" si="15"/>
        <v>17</v>
      </c>
      <c r="J38" s="25" t="str">
        <f t="shared" si="16"/>
        <v>Прев. вр. пер. КА</v>
      </c>
      <c r="K38" s="23" t="s">
        <v>201</v>
      </c>
      <c r="L38" s="27" t="s">
        <v>54</v>
      </c>
      <c r="M38" s="24" t="s">
        <v>51</v>
      </c>
      <c r="N38" s="24" t="s">
        <v>52</v>
      </c>
      <c r="O38" s="24"/>
      <c r="P38" s="28"/>
      <c r="Q38" s="28"/>
      <c r="R38" s="24" t="s">
        <v>53</v>
      </c>
      <c r="S38" s="24" t="s">
        <v>53</v>
      </c>
      <c r="T38" s="24" t="s">
        <v>53</v>
      </c>
      <c r="U38" s="24" t="s">
        <v>53</v>
      </c>
      <c r="V38" s="24"/>
      <c r="W38" s="24"/>
      <c r="X38" s="24" t="s">
        <v>53</v>
      </c>
      <c r="Y38" s="24">
        <v>0</v>
      </c>
      <c r="Z38" s="30"/>
      <c r="AA38" s="31">
        <v>0</v>
      </c>
      <c r="AB38" s="31"/>
      <c r="AC38" s="31"/>
      <c r="AD38" s="31"/>
      <c r="AE38" s="31"/>
      <c r="AF38" s="31">
        <v>0</v>
      </c>
      <c r="AG38" s="31">
        <v>0</v>
      </c>
      <c r="AH38" s="31">
        <v>0</v>
      </c>
      <c r="AI38" s="32"/>
      <c r="AJ38" s="33"/>
      <c r="AK38" s="33"/>
      <c r="AL38" s="33"/>
      <c r="AM38" s="33"/>
      <c r="AN38" s="33"/>
      <c r="AO38" s="33"/>
      <c r="AP38" s="33"/>
      <c r="AQ38" s="33"/>
      <c r="AR38" s="31">
        <v>0</v>
      </c>
      <c r="AS38" s="31">
        <v>0</v>
      </c>
      <c r="AT38" s="31">
        <v>0</v>
      </c>
      <c r="AU38" s="31">
        <v>0</v>
      </c>
      <c r="AV38" s="31">
        <f t="shared" si="17"/>
        <v>0</v>
      </c>
      <c r="AW38" s="31">
        <v>0</v>
      </c>
      <c r="AX38" s="31">
        <f t="shared" si="3"/>
        <v>0</v>
      </c>
      <c r="AY38" s="31"/>
      <c r="AZ38" s="28"/>
      <c r="BA38" s="31"/>
      <c r="BB38" s="31"/>
      <c r="BC38" s="34"/>
      <c r="BD38" s="31"/>
      <c r="BE38" s="35"/>
      <c r="BF38" s="31"/>
      <c r="BG38" s="36" t="str">
        <f t="shared" si="18"/>
        <v>description: "Прев. вр. пер. КА", note: "Превышение времени переключения КА", group: "measurement", minValue: null, maxValue: null, step: null, units: "null", defaultValue: null, eventRegistration: 0</v>
      </c>
      <c r="BH38" s="37"/>
    </row>
    <row r="39" spans="1:60" s="1" customFormat="1" ht="16.5" customHeight="1" x14ac:dyDescent="0.25">
      <c r="A39" s="23"/>
      <c r="B39" s="23" t="s">
        <v>50</v>
      </c>
      <c r="C39" s="24"/>
      <c r="D39" s="2"/>
      <c r="E39" s="25" t="s">
        <v>202</v>
      </c>
      <c r="F39" s="26" t="s">
        <v>203</v>
      </c>
      <c r="G39" s="26" t="s">
        <v>203</v>
      </c>
      <c r="H39" s="25"/>
      <c r="I39" s="25">
        <f t="shared" si="15"/>
        <v>19</v>
      </c>
      <c r="J39" s="25" t="str">
        <f t="shared" si="16"/>
        <v>Общ. внеш. сигн. СС</v>
      </c>
      <c r="K39" s="23" t="s">
        <v>204</v>
      </c>
      <c r="L39" s="27" t="s">
        <v>54</v>
      </c>
      <c r="M39" s="24" t="s">
        <v>51</v>
      </c>
      <c r="N39" s="24" t="s">
        <v>52</v>
      </c>
      <c r="O39" s="24"/>
      <c r="P39" s="28"/>
      <c r="Q39" s="28"/>
      <c r="R39" s="24" t="s">
        <v>53</v>
      </c>
      <c r="S39" s="24" t="s">
        <v>53</v>
      </c>
      <c r="T39" s="24" t="s">
        <v>53</v>
      </c>
      <c r="U39" s="24" t="s">
        <v>53</v>
      </c>
      <c r="V39" s="24"/>
      <c r="W39" s="24"/>
      <c r="X39" s="24" t="s">
        <v>53</v>
      </c>
      <c r="Y39" s="24">
        <v>0</v>
      </c>
      <c r="Z39" s="30"/>
      <c r="AA39" s="31">
        <v>0</v>
      </c>
      <c r="AB39" s="31"/>
      <c r="AC39" s="31"/>
      <c r="AD39" s="31"/>
      <c r="AE39" s="31"/>
      <c r="AF39" s="31">
        <v>0</v>
      </c>
      <c r="AG39" s="31">
        <v>0</v>
      </c>
      <c r="AH39" s="31">
        <v>0</v>
      </c>
      <c r="AI39" s="32"/>
      <c r="AJ39" s="33"/>
      <c r="AK39" s="33"/>
      <c r="AL39" s="33"/>
      <c r="AM39" s="33"/>
      <c r="AN39" s="33"/>
      <c r="AO39" s="33"/>
      <c r="AP39" s="33"/>
      <c r="AQ39" s="33"/>
      <c r="AR39" s="31">
        <v>0</v>
      </c>
      <c r="AS39" s="31">
        <v>0</v>
      </c>
      <c r="AT39" s="31">
        <v>0</v>
      </c>
      <c r="AU39" s="31">
        <v>0</v>
      </c>
      <c r="AV39" s="31">
        <f t="shared" si="17"/>
        <v>0</v>
      </c>
      <c r="AW39" s="31">
        <v>0</v>
      </c>
      <c r="AX39" s="31">
        <f t="shared" si="3"/>
        <v>0</v>
      </c>
      <c r="AY39" s="31"/>
      <c r="AZ39" s="28"/>
      <c r="BA39" s="31"/>
      <c r="BB39" s="31"/>
      <c r="BC39" s="34"/>
      <c r="BD39" s="31"/>
      <c r="BE39" s="35"/>
      <c r="BF39" s="31"/>
      <c r="BG39" s="36" t="str">
        <f t="shared" si="18"/>
        <v>description: "Общ. внеш. сигн. СС", note: "Общий внешний сигнал от СС", group: "measurement", minValue: null, maxValue: null, step: null, units: "null", defaultValue: null, eventRegistration: 0</v>
      </c>
      <c r="BH39" s="37"/>
    </row>
    <row r="40" spans="1:60" s="1" customFormat="1" ht="16.5" customHeight="1" x14ac:dyDescent="0.25">
      <c r="A40" s="23"/>
      <c r="B40" s="23" t="s">
        <v>50</v>
      </c>
      <c r="C40" s="24"/>
      <c r="D40" s="2"/>
      <c r="E40" s="25" t="s">
        <v>205</v>
      </c>
      <c r="F40" s="26" t="s">
        <v>97</v>
      </c>
      <c r="G40" s="26" t="s">
        <v>97</v>
      </c>
      <c r="H40" s="25"/>
      <c r="I40" s="25">
        <f t="shared" si="15"/>
        <v>3</v>
      </c>
      <c r="J40" s="25" t="str">
        <f t="shared" si="16"/>
        <v>IRF</v>
      </c>
      <c r="K40" s="23" t="s">
        <v>97</v>
      </c>
      <c r="L40" s="27" t="s">
        <v>54</v>
      </c>
      <c r="M40" s="24" t="s">
        <v>51</v>
      </c>
      <c r="N40" s="24" t="s">
        <v>52</v>
      </c>
      <c r="O40" s="24"/>
      <c r="P40" s="28"/>
      <c r="Q40" s="28"/>
      <c r="R40" s="24" t="s">
        <v>53</v>
      </c>
      <c r="S40" s="24" t="s">
        <v>53</v>
      </c>
      <c r="T40" s="24" t="s">
        <v>53</v>
      </c>
      <c r="U40" s="24" t="s">
        <v>53</v>
      </c>
      <c r="V40" s="24"/>
      <c r="W40" s="24"/>
      <c r="X40" s="24" t="s">
        <v>53</v>
      </c>
      <c r="Y40" s="24">
        <v>0</v>
      </c>
      <c r="Z40" s="30"/>
      <c r="AA40" s="31">
        <v>0</v>
      </c>
      <c r="AB40" s="31"/>
      <c r="AC40" s="31"/>
      <c r="AD40" s="31"/>
      <c r="AE40" s="31"/>
      <c r="AF40" s="31">
        <v>0</v>
      </c>
      <c r="AG40" s="31">
        <v>0</v>
      </c>
      <c r="AH40" s="31">
        <v>0</v>
      </c>
      <c r="AI40" s="32"/>
      <c r="AJ40" s="33"/>
      <c r="AK40" s="33"/>
      <c r="AL40" s="33"/>
      <c r="AM40" s="33"/>
      <c r="AN40" s="33"/>
      <c r="AO40" s="33"/>
      <c r="AP40" s="33"/>
      <c r="AQ40" s="33"/>
      <c r="AR40" s="31">
        <v>0</v>
      </c>
      <c r="AS40" s="31">
        <v>0</v>
      </c>
      <c r="AT40" s="31">
        <v>0</v>
      </c>
      <c r="AU40" s="31">
        <v>0</v>
      </c>
      <c r="AV40" s="31">
        <f t="shared" si="17"/>
        <v>0</v>
      </c>
      <c r="AW40" s="31">
        <v>0</v>
      </c>
      <c r="AX40" s="31">
        <f t="shared" si="3"/>
        <v>0</v>
      </c>
      <c r="AY40" s="31"/>
      <c r="AZ40" s="28"/>
      <c r="BA40" s="31"/>
      <c r="BB40" s="31"/>
      <c r="BC40" s="34"/>
      <c r="BD40" s="31"/>
      <c r="BE40" s="35"/>
      <c r="BF40" s="31"/>
      <c r="BG40" s="36" t="str">
        <f t="shared" si="18"/>
        <v>description: "IRF", note: "Неисправность терминала", group: "measurement", minValue: null, maxValue: null, step: null, units: "null", defaultValue: null, eventRegistration: 0</v>
      </c>
      <c r="BH40" s="37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6"/>
      <c r="BC41" s="9"/>
      <c r="BD41" s="46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6"/>
      <c r="BC42" s="9"/>
      <c r="BD42" s="46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6"/>
      <c r="BC43" s="9"/>
      <c r="BD43" s="46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6"/>
      <c r="BC44" s="9"/>
      <c r="BD44" s="46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6"/>
      <c r="BC45" s="9"/>
      <c r="BD45" s="46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6"/>
      <c r="BC46" s="9"/>
      <c r="BD46" s="46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6"/>
      <c r="BC47" s="9"/>
      <c r="BD47" s="46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6"/>
      <c r="BC48" s="9"/>
      <c r="BD48" s="46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6"/>
      <c r="BC49" s="9"/>
      <c r="BD49" s="46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6"/>
      <c r="BC50" s="9"/>
      <c r="BD50" s="46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6"/>
      <c r="BC51" s="9"/>
      <c r="BD51" s="46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6"/>
      <c r="BC52" s="9"/>
      <c r="BD52" s="46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6"/>
      <c r="BC53" s="9"/>
      <c r="BD53" s="46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6"/>
      <c r="BC54" s="9"/>
      <c r="BD54" s="46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6"/>
      <c r="BC55" s="9"/>
      <c r="BD55" s="46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6"/>
      <c r="BC56" s="9"/>
      <c r="BD56" s="46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6"/>
      <c r="BC57" s="9"/>
      <c r="BD57" s="46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6"/>
      <c r="BC58" s="9"/>
      <c r="BD58" s="46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6"/>
      <c r="BC59" s="9"/>
      <c r="BD59" s="46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6"/>
      <c r="BC60" s="9"/>
      <c r="BD60" s="46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6"/>
      <c r="BC61" s="9"/>
      <c r="BD61" s="46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6"/>
      <c r="BC62" s="9"/>
      <c r="BD62" s="46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9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9"/>
      <c r="AB102" s="9"/>
      <c r="AC102" s="9"/>
      <c r="AD102" s="9"/>
      <c r="AE102" s="9"/>
      <c r="AF102" s="9"/>
      <c r="AG102" s="9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9"/>
      <c r="AB103" s="9"/>
      <c r="AC103" s="9"/>
      <c r="AD103" s="9"/>
      <c r="AE103" s="9"/>
      <c r="AF103" s="9"/>
      <c r="AG103" s="9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9"/>
      <c r="AB104" s="9"/>
      <c r="AC104" s="9"/>
      <c r="AD104" s="9"/>
      <c r="AE104" s="9"/>
      <c r="AF104" s="9"/>
      <c r="AG104" s="9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6"/>
      <c r="BC123" s="9"/>
      <c r="BD123" s="46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6"/>
      <c r="BC124" s="9"/>
      <c r="BD124" s="46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6"/>
      <c r="BC125" s="9"/>
      <c r="BD125" s="46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6"/>
      <c r="BC126" s="9"/>
      <c r="BD126" s="46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6"/>
      <c r="BC127" s="9"/>
      <c r="BD127" s="46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6"/>
      <c r="BC128" s="9"/>
      <c r="BD128" s="46"/>
      <c r="BE128" s="9"/>
      <c r="BF128" s="9"/>
      <c r="BG128" s="6"/>
      <c r="BH128" s="6"/>
    </row>
    <row r="129" spans="1:60" s="7" customFormat="1" ht="15.75" x14ac:dyDescent="0.25">
      <c r="A129" s="6"/>
      <c r="B129" s="6"/>
      <c r="C129" s="6"/>
      <c r="D129" s="6"/>
      <c r="R129" s="8"/>
      <c r="S129" s="9"/>
      <c r="T129" s="9"/>
      <c r="U129" s="9"/>
      <c r="V129" s="9"/>
      <c r="W129" s="9"/>
      <c r="X129" s="9"/>
      <c r="Y129" s="9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R129" s="6"/>
      <c r="AS129" s="6"/>
      <c r="AT129" s="6"/>
      <c r="AU129" s="6"/>
      <c r="AV129" s="6"/>
      <c r="AW129" s="6"/>
      <c r="AX129" s="6"/>
      <c r="AY129" s="9"/>
      <c r="AZ129" s="9"/>
      <c r="BA129" s="9"/>
      <c r="BB129" s="46"/>
      <c r="BC129" s="9"/>
      <c r="BD129" s="46"/>
      <c r="BE129" s="9"/>
      <c r="BF129" s="9"/>
      <c r="BG129" s="6"/>
      <c r="BH129" s="6"/>
    </row>
    <row r="130" spans="1:60" s="7" customFormat="1" ht="15.75" x14ac:dyDescent="0.25">
      <c r="A130" s="6"/>
      <c r="B130" s="6"/>
      <c r="C130" s="6"/>
      <c r="D130" s="6"/>
      <c r="R130" s="8"/>
      <c r="S130" s="9"/>
      <c r="T130" s="9"/>
      <c r="U130" s="9"/>
      <c r="V130" s="9"/>
      <c r="W130" s="9"/>
      <c r="X130" s="9"/>
      <c r="Y130" s="9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R130" s="6"/>
      <c r="AS130" s="6"/>
      <c r="AT130" s="6"/>
      <c r="AU130" s="6"/>
      <c r="AV130" s="6"/>
      <c r="AW130" s="6"/>
      <c r="AX130" s="6"/>
      <c r="AY130" s="9"/>
      <c r="AZ130" s="9"/>
      <c r="BA130" s="9"/>
      <c r="BB130" s="46"/>
      <c r="BC130" s="9"/>
      <c r="BD130" s="46"/>
      <c r="BE130" s="9"/>
      <c r="BF130" s="9"/>
      <c r="BG130" s="6"/>
      <c r="BH130" s="6"/>
    </row>
    <row r="131" spans="1:60" s="7" customFormat="1" ht="15.75" x14ac:dyDescent="0.25">
      <c r="A131" s="6"/>
      <c r="B131" s="6"/>
      <c r="C131" s="6"/>
      <c r="D131" s="6"/>
      <c r="R131" s="8"/>
      <c r="S131" s="9"/>
      <c r="T131" s="9"/>
      <c r="U131" s="9"/>
      <c r="V131" s="9"/>
      <c r="W131" s="9"/>
      <c r="X131" s="9"/>
      <c r="Y131" s="9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R131" s="6"/>
      <c r="AS131" s="6"/>
      <c r="AT131" s="6"/>
      <c r="AU131" s="6"/>
      <c r="AV131" s="6"/>
      <c r="AW131" s="6"/>
      <c r="AX131" s="6"/>
      <c r="AY131" s="9"/>
      <c r="AZ131" s="9"/>
      <c r="BA131" s="9"/>
      <c r="BB131" s="46"/>
      <c r="BC131" s="9"/>
      <c r="BD131" s="46"/>
      <c r="BE131" s="9"/>
      <c r="BF131" s="9"/>
      <c r="BG131" s="6"/>
      <c r="BH131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W15" sqref="AW14:AW1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9" t="s">
        <v>0</v>
      </c>
      <c r="BA1" s="60"/>
      <c r="BB1" s="60"/>
      <c r="BC1" s="60"/>
      <c r="BD1" s="60"/>
      <c r="BE1" s="60"/>
      <c r="BF1" s="60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4" t="s">
        <v>245</v>
      </c>
      <c r="AW2" s="54" t="s">
        <v>246</v>
      </c>
      <c r="AX2" s="54" t="s">
        <v>247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5" t="s">
        <v>248</v>
      </c>
      <c r="C3" s="39"/>
      <c r="D3" s="5" t="s">
        <v>101</v>
      </c>
      <c r="E3" s="26" t="s">
        <v>206</v>
      </c>
      <c r="F3" s="47" t="s">
        <v>98</v>
      </c>
      <c r="G3" s="47" t="s">
        <v>98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99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5" t="s">
        <v>248</v>
      </c>
      <c r="C4" s="39"/>
      <c r="D4" s="5" t="s">
        <v>101</v>
      </c>
      <c r="E4" s="26" t="s">
        <v>79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100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6"/>
  <sheetViews>
    <sheetView tabSelected="1" zoomScale="80" zoomScaleNormal="80" workbookViewId="0">
      <selection activeCell="G8" sqref="G8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8" width="23.710937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59" t="s">
        <v>0</v>
      </c>
      <c r="BB1" s="60"/>
      <c r="BC1" s="60"/>
      <c r="BD1" s="60"/>
      <c r="BE1" s="60"/>
      <c r="BF1" s="60"/>
      <c r="BG1" s="60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61" t="s">
        <v>254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101</v>
      </c>
      <c r="E3" s="26" t="s">
        <v>222</v>
      </c>
      <c r="F3" s="26" t="s">
        <v>113</v>
      </c>
      <c r="G3" s="26" t="s">
        <v>75</v>
      </c>
      <c r="H3" s="26" t="s">
        <v>75</v>
      </c>
      <c r="I3" s="26" t="s">
        <v>71</v>
      </c>
      <c r="J3" s="26">
        <f>LEN(F3)</f>
        <v>13</v>
      </c>
      <c r="K3" s="26" t="str">
        <f>IF(LEN(F3)&lt;=$K$1,F3,"")</f>
        <v>Контр_ГЗ_сигн</v>
      </c>
      <c r="L3" s="38" t="s">
        <v>208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"Контр_ГЗ_сигн", note: "Контроль сигнала «ГЗ сигн»",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101</v>
      </c>
      <c r="E4" s="26" t="s">
        <v>223</v>
      </c>
      <c r="F4" s="26" t="s">
        <v>224</v>
      </c>
      <c r="G4" s="26" t="s">
        <v>76</v>
      </c>
      <c r="H4" s="26" t="s">
        <v>76</v>
      </c>
      <c r="I4" s="26" t="s">
        <v>71</v>
      </c>
      <c r="J4" s="26">
        <f>LEN(F4)</f>
        <v>17</v>
      </c>
      <c r="K4" s="26" t="str">
        <f>IF(LEN(F4)&lt;=$K$1,F4,"")</f>
        <v>Контр_Низ_изол_ГЗ</v>
      </c>
      <c r="L4" s="38" t="s">
        <v>209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101</v>
      </c>
      <c r="E5" s="26" t="s">
        <v>225</v>
      </c>
      <c r="F5" s="26" t="s">
        <v>115</v>
      </c>
      <c r="G5" s="26" t="s">
        <v>77</v>
      </c>
      <c r="H5" s="26" t="s">
        <v>77</v>
      </c>
      <c r="I5" s="26" t="s">
        <v>71</v>
      </c>
      <c r="J5" s="26">
        <f t="shared" ref="J5:J15" si="0">LEN(F5)</f>
        <v>13</v>
      </c>
      <c r="K5" s="26" t="str">
        <f t="shared" ref="K5:K15" si="1">IF(LEN(F5)&lt;=$K$1,F5,"")</f>
        <v>Контр_ГЗ_блок</v>
      </c>
      <c r="L5" s="38" t="s">
        <v>210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5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5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101</v>
      </c>
      <c r="E6" s="26" t="s">
        <v>226</v>
      </c>
      <c r="F6" s="26" t="s">
        <v>112</v>
      </c>
      <c r="G6" s="26" t="s">
        <v>78</v>
      </c>
      <c r="H6" s="26" t="s">
        <v>78</v>
      </c>
      <c r="I6" s="26" t="s">
        <v>71</v>
      </c>
      <c r="J6" s="26">
        <f t="shared" si="0"/>
        <v>13</v>
      </c>
      <c r="K6" s="26" t="str">
        <f t="shared" si="1"/>
        <v>Контр_ТЗ_сигн</v>
      </c>
      <c r="L6" s="38" t="s">
        <v>211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"Контр_ТЗ_сигн", note: "Контроль сигнала «ТЗ сигн»",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101</v>
      </c>
      <c r="E7" s="26" t="s">
        <v>227</v>
      </c>
      <c r="F7" s="26" t="s">
        <v>228</v>
      </c>
      <c r="G7" s="26" t="s">
        <v>80</v>
      </c>
      <c r="H7" s="26" t="s">
        <v>80</v>
      </c>
      <c r="I7" s="26" t="s">
        <v>71</v>
      </c>
      <c r="J7" s="26">
        <f t="shared" ref="J7" si="4">LEN(F7)</f>
        <v>17</v>
      </c>
      <c r="K7" s="26" t="str">
        <f t="shared" ref="K7" si="5">IF(LEN(F7)&lt;=$K$1,F7,"")</f>
        <v>Контр_Низ_изол_ТЗ</v>
      </c>
      <c r="L7" s="38" t="s">
        <v>212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"Контр_Низ_изол_ТЗ", note: "Контроль сигнала «Низ. изол. ТЗ»",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101</v>
      </c>
      <c r="E8" s="26" t="s">
        <v>229</v>
      </c>
      <c r="F8" s="26" t="s">
        <v>114</v>
      </c>
      <c r="G8" s="26" t="s">
        <v>102</v>
      </c>
      <c r="H8" s="26" t="s">
        <v>102</v>
      </c>
      <c r="I8" s="26" t="s">
        <v>71</v>
      </c>
      <c r="J8" s="26">
        <f t="shared" si="0"/>
        <v>13</v>
      </c>
      <c r="K8" s="26" t="str">
        <f t="shared" si="1"/>
        <v>Контр_ТЗ_блок</v>
      </c>
      <c r="L8" s="38" t="s">
        <v>213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"Контр_ТЗ_блок", note: "Контроль сигнала «ТЗ заблокирована»",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101</v>
      </c>
      <c r="E9" s="26" t="s">
        <v>230</v>
      </c>
      <c r="F9" s="26" t="s">
        <v>231</v>
      </c>
      <c r="G9" s="26" t="s">
        <v>103</v>
      </c>
      <c r="H9" s="26" t="s">
        <v>103</v>
      </c>
      <c r="I9" s="26" t="s">
        <v>71</v>
      </c>
      <c r="J9" s="26">
        <f t="shared" si="0"/>
        <v>13</v>
      </c>
      <c r="K9" s="26" t="str">
        <f t="shared" si="1"/>
        <v>Контр_ТС_сигн</v>
      </c>
      <c r="L9" s="38" t="s">
        <v>214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"Контр_ТС_сигн", note: "Контроль сигнала «ТС сигн»",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101</v>
      </c>
      <c r="E10" s="26" t="s">
        <v>232</v>
      </c>
      <c r="F10" s="26" t="s">
        <v>116</v>
      </c>
      <c r="G10" s="26" t="s">
        <v>104</v>
      </c>
      <c r="H10" s="26" t="s">
        <v>104</v>
      </c>
      <c r="I10" s="26" t="s">
        <v>71</v>
      </c>
      <c r="J10" s="26">
        <f t="shared" si="0"/>
        <v>13</v>
      </c>
      <c r="K10" s="26" t="str">
        <f t="shared" si="1"/>
        <v>Контр_ОТ_сигн</v>
      </c>
      <c r="L10" s="38" t="s">
        <v>215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101</v>
      </c>
      <c r="E11" s="26" t="s">
        <v>233</v>
      </c>
      <c r="F11" s="26" t="s">
        <v>234</v>
      </c>
      <c r="G11" s="26" t="s">
        <v>105</v>
      </c>
      <c r="H11" s="26" t="s">
        <v>105</v>
      </c>
      <c r="I11" s="26" t="s">
        <v>71</v>
      </c>
      <c r="J11" s="26">
        <f t="shared" si="0"/>
        <v>16</v>
      </c>
      <c r="K11" s="26" t="str">
        <f t="shared" si="1"/>
        <v>Контр_ОТ_НН_сигн</v>
      </c>
      <c r="L11" s="38" t="s">
        <v>216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"Контр_ОТ_НН_сигн", note: "Контроль сигнала «ОТ НН сигн»",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101</v>
      </c>
      <c r="E12" s="26" t="s">
        <v>235</v>
      </c>
      <c r="F12" s="26" t="s">
        <v>236</v>
      </c>
      <c r="G12" s="26" t="s">
        <v>106</v>
      </c>
      <c r="H12" s="26" t="s">
        <v>106</v>
      </c>
      <c r="I12" s="26" t="s">
        <v>71</v>
      </c>
      <c r="J12" s="26">
        <f t="shared" si="0"/>
        <v>15</v>
      </c>
      <c r="K12" s="26" t="str">
        <f t="shared" si="1"/>
        <v>Контр_Внеш_откл</v>
      </c>
      <c r="L12" s="38" t="s">
        <v>217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13" spans="1:16380" s="1" customFormat="1" ht="16.5" customHeight="1" x14ac:dyDescent="0.25">
      <c r="A13" s="38"/>
      <c r="B13" s="38" t="s">
        <v>56</v>
      </c>
      <c r="C13" s="42"/>
      <c r="D13" s="5" t="s">
        <v>101</v>
      </c>
      <c r="E13" s="26" t="s">
        <v>237</v>
      </c>
      <c r="F13" s="26" t="s">
        <v>238</v>
      </c>
      <c r="G13" s="26" t="s">
        <v>107</v>
      </c>
      <c r="H13" s="26" t="s">
        <v>107</v>
      </c>
      <c r="I13" s="26" t="s">
        <v>71</v>
      </c>
      <c r="J13" s="26">
        <f t="shared" si="0"/>
        <v>19</v>
      </c>
      <c r="K13" s="26" t="str">
        <f t="shared" si="1"/>
        <v>Контр_Вых_цеп_разоб</v>
      </c>
      <c r="L13" s="38" t="s">
        <v>218</v>
      </c>
      <c r="M13" s="41" t="s">
        <v>54</v>
      </c>
      <c r="N13" s="42" t="s">
        <v>52</v>
      </c>
      <c r="O13" s="42" t="s">
        <v>52</v>
      </c>
      <c r="P13" s="42"/>
      <c r="Q13" s="44">
        <v>0</v>
      </c>
      <c r="R13" s="44"/>
      <c r="S13" s="42" t="s">
        <v>53</v>
      </c>
      <c r="T13" s="42">
        <v>0</v>
      </c>
      <c r="U13" s="42">
        <v>1</v>
      </c>
      <c r="V13" s="42">
        <v>1</v>
      </c>
      <c r="W13" s="42"/>
      <c r="X13" s="42"/>
      <c r="Y13" s="42">
        <v>0</v>
      </c>
      <c r="Z13" s="42">
        <v>0</v>
      </c>
      <c r="AA13" s="40"/>
      <c r="AB13" s="31">
        <v>0</v>
      </c>
      <c r="AC13" s="31"/>
      <c r="AD13" s="31"/>
      <c r="AE13" s="31"/>
      <c r="AF13" s="31"/>
      <c r="AG13" s="31">
        <v>0</v>
      </c>
      <c r="AH13" s="31">
        <v>0</v>
      </c>
      <c r="AI13" s="31">
        <v>0</v>
      </c>
      <c r="AJ13" s="31"/>
      <c r="AK13" s="39"/>
      <c r="AL13" s="39"/>
      <c r="AM13" s="39"/>
      <c r="AN13" s="39"/>
      <c r="AO13" s="39"/>
      <c r="AP13" s="39"/>
      <c r="AQ13" s="39"/>
      <c r="AR13" s="39"/>
      <c r="AS13" s="39">
        <v>0</v>
      </c>
      <c r="AT13" s="39">
        <v>0</v>
      </c>
      <c r="AU13" s="39">
        <v>0</v>
      </c>
      <c r="AV13" s="39">
        <v>0</v>
      </c>
      <c r="AW13" s="39">
        <f t="shared" si="2"/>
        <v>0</v>
      </c>
      <c r="AX13" s="39" t="s">
        <v>72</v>
      </c>
      <c r="AY13" s="39"/>
      <c r="AZ13" s="44"/>
      <c r="BA13" s="39"/>
      <c r="BB13" s="39"/>
      <c r="BC13" s="39"/>
      <c r="BD13" s="39"/>
      <c r="BE13" s="39"/>
      <c r="BF13" s="39"/>
      <c r="BG13" s="39"/>
      <c r="BH13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4" spans="1:16380" s="1" customFormat="1" ht="16.5" customHeight="1" x14ac:dyDescent="0.25">
      <c r="A14" s="38"/>
      <c r="B14" s="38" t="s">
        <v>56</v>
      </c>
      <c r="C14" s="42"/>
      <c r="D14" s="5" t="s">
        <v>101</v>
      </c>
      <c r="E14" s="26" t="s">
        <v>239</v>
      </c>
      <c r="F14" s="26" t="s">
        <v>240</v>
      </c>
      <c r="G14" s="26" t="s">
        <v>108</v>
      </c>
      <c r="H14" s="26" t="s">
        <v>108</v>
      </c>
      <c r="I14" s="26" t="s">
        <v>71</v>
      </c>
      <c r="J14" s="26">
        <f t="shared" ref="J14" si="8">LEN(F14)</f>
        <v>17</v>
      </c>
      <c r="K14" s="26" t="str">
        <f t="shared" ref="K14" si="9">IF(LEN(F14)&lt;=$K$1,F14,"")</f>
        <v>Контр_БИ_выведены</v>
      </c>
      <c r="L14" s="38" t="s">
        <v>219</v>
      </c>
      <c r="M14" s="41" t="s">
        <v>54</v>
      </c>
      <c r="N14" s="42" t="s">
        <v>52</v>
      </c>
      <c r="O14" s="42" t="s">
        <v>52</v>
      </c>
      <c r="P14" s="42"/>
      <c r="Q14" s="44">
        <v>0</v>
      </c>
      <c r="R14" s="44"/>
      <c r="S14" s="42" t="s">
        <v>53</v>
      </c>
      <c r="T14" s="42">
        <v>0</v>
      </c>
      <c r="U14" s="42">
        <v>1</v>
      </c>
      <c r="V14" s="42">
        <v>1</v>
      </c>
      <c r="W14" s="42"/>
      <c r="X14" s="42"/>
      <c r="Y14" s="42">
        <v>0</v>
      </c>
      <c r="Z14" s="42">
        <v>0</v>
      </c>
      <c r="AA14" s="40"/>
      <c r="AB14" s="31">
        <v>0</v>
      </c>
      <c r="AC14" s="31"/>
      <c r="AD14" s="31"/>
      <c r="AE14" s="31"/>
      <c r="AF14" s="31"/>
      <c r="AG14" s="31">
        <v>0</v>
      </c>
      <c r="AH14" s="31">
        <v>0</v>
      </c>
      <c r="AI14" s="31">
        <v>0</v>
      </c>
      <c r="AJ14" s="31"/>
      <c r="AK14" s="39"/>
      <c r="AL14" s="39"/>
      <c r="AM14" s="39"/>
      <c r="AN14" s="39"/>
      <c r="AO14" s="39"/>
      <c r="AP14" s="39"/>
      <c r="AQ14" s="39"/>
      <c r="AR14" s="39"/>
      <c r="AS14" s="39">
        <v>0</v>
      </c>
      <c r="AT14" s="39">
        <v>0</v>
      </c>
      <c r="AU14" s="39">
        <v>0</v>
      </c>
      <c r="AV14" s="39">
        <v>0</v>
      </c>
      <c r="AW14" s="39">
        <f t="shared" ref="AW14" si="10">BIN2DEC(CONCATENATE(0,0,0,0,AS14,AT14,AU14,AV14))</f>
        <v>0</v>
      </c>
      <c r="AX14" s="39" t="s">
        <v>72</v>
      </c>
      <c r="AY14" s="39"/>
      <c r="AZ14" s="44"/>
      <c r="BA14" s="39"/>
      <c r="BB14" s="39"/>
      <c r="BC14" s="39"/>
      <c r="BD14" s="39"/>
      <c r="BE14" s="39"/>
      <c r="BF14" s="39"/>
      <c r="BG14" s="39"/>
      <c r="BH14" s="29" t="str">
        <f t="shared" ref="BH14" si="11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"Контр_БИ_выведены", note: "Контроль сигнала «БИ выведены»", group: "setting", minValue: 0, maxValue: 1, step: 1, units: "null", defaultValue: 0, eventRegistration: 0</v>
      </c>
    </row>
    <row r="15" spans="1:16380" s="1" customFormat="1" ht="16.5" customHeight="1" x14ac:dyDescent="0.25">
      <c r="A15" s="38"/>
      <c r="B15" s="38" t="s">
        <v>56</v>
      </c>
      <c r="C15" s="42"/>
      <c r="D15" s="5" t="s">
        <v>101</v>
      </c>
      <c r="E15" s="26" t="s">
        <v>241</v>
      </c>
      <c r="F15" s="26" t="s">
        <v>242</v>
      </c>
      <c r="G15" s="26" t="s">
        <v>111</v>
      </c>
      <c r="H15" s="26" t="s">
        <v>111</v>
      </c>
      <c r="I15" s="26" t="s">
        <v>71</v>
      </c>
      <c r="J15" s="26">
        <f t="shared" si="0"/>
        <v>16</v>
      </c>
      <c r="K15" s="26" t="str">
        <f t="shared" si="1"/>
        <v>Контр_Вр_пркл_КА</v>
      </c>
      <c r="L15" s="38" t="s">
        <v>220</v>
      </c>
      <c r="M15" s="41" t="s">
        <v>54</v>
      </c>
      <c r="N15" s="42" t="s">
        <v>52</v>
      </c>
      <c r="O15" s="42" t="s">
        <v>52</v>
      </c>
      <c r="P15" s="42"/>
      <c r="Q15" s="44">
        <v>0</v>
      </c>
      <c r="R15" s="44"/>
      <c r="S15" s="42" t="s">
        <v>53</v>
      </c>
      <c r="T15" s="42">
        <v>0</v>
      </c>
      <c r="U15" s="42">
        <v>1</v>
      </c>
      <c r="V15" s="42">
        <v>1</v>
      </c>
      <c r="W15" s="42"/>
      <c r="X15" s="42"/>
      <c r="Y15" s="42">
        <v>0</v>
      </c>
      <c r="Z15" s="42">
        <v>0</v>
      </c>
      <c r="AA15" s="40"/>
      <c r="AB15" s="31">
        <v>0</v>
      </c>
      <c r="AC15" s="31"/>
      <c r="AD15" s="31"/>
      <c r="AE15" s="31"/>
      <c r="AF15" s="31"/>
      <c r="AG15" s="31">
        <v>0</v>
      </c>
      <c r="AH15" s="31">
        <v>0</v>
      </c>
      <c r="AI15" s="31">
        <v>0</v>
      </c>
      <c r="AJ15" s="31"/>
      <c r="AK15" s="39"/>
      <c r="AL15" s="39"/>
      <c r="AM15" s="39"/>
      <c r="AN15" s="39"/>
      <c r="AO15" s="39"/>
      <c r="AP15" s="39"/>
      <c r="AQ15" s="39"/>
      <c r="AR15" s="39"/>
      <c r="AS15" s="39">
        <v>0</v>
      </c>
      <c r="AT15" s="39">
        <v>0</v>
      </c>
      <c r="AU15" s="39">
        <v>0</v>
      </c>
      <c r="AV15" s="39">
        <v>0</v>
      </c>
      <c r="AW15" s="39">
        <f t="shared" si="2"/>
        <v>0</v>
      </c>
      <c r="AX15" s="39" t="s">
        <v>72</v>
      </c>
      <c r="AY15" s="39"/>
      <c r="AZ15" s="44"/>
      <c r="BA15" s="39"/>
      <c r="BB15" s="39"/>
      <c r="BC15" s="39"/>
      <c r="BD15" s="39"/>
      <c r="BE15" s="39"/>
      <c r="BF15" s="39"/>
      <c r="BG15" s="39"/>
      <c r="BH15" s="29" t="str">
        <f t="shared" si="3"/>
        <v>description: "Контр_Вр_пркл_КА", note: "Контроль сигнала «Прев. вр. пер. КА»", group: "setting", minValue: 0, maxValue: 1, step: 1, units: "null", defaultValue: 0, eventRegistration: 0</v>
      </c>
    </row>
    <row r="16" spans="1:16380" s="1" customFormat="1" ht="16.5" customHeight="1" x14ac:dyDescent="0.25">
      <c r="A16" s="38"/>
      <c r="B16" s="38" t="s">
        <v>56</v>
      </c>
      <c r="C16" s="42"/>
      <c r="D16" s="5" t="s">
        <v>101</v>
      </c>
      <c r="E16" s="26" t="s">
        <v>110</v>
      </c>
      <c r="F16" s="26" t="s">
        <v>243</v>
      </c>
      <c r="G16" s="26" t="s">
        <v>207</v>
      </c>
      <c r="H16" s="26" t="s">
        <v>207</v>
      </c>
      <c r="I16" s="26" t="s">
        <v>71</v>
      </c>
      <c r="J16" s="26">
        <f t="shared" ref="J16" si="12">LEN(F16)</f>
        <v>19</v>
      </c>
      <c r="K16" s="26" t="str">
        <f t="shared" ref="K16" si="13">IF(LEN(F16)&lt;=$K$1,F16,"")</f>
        <v>Контр_общ_внеш_сигн</v>
      </c>
      <c r="L16" s="38" t="s">
        <v>221</v>
      </c>
      <c r="M16" s="41" t="s">
        <v>54</v>
      </c>
      <c r="N16" s="42" t="s">
        <v>52</v>
      </c>
      <c r="O16" s="42" t="s">
        <v>52</v>
      </c>
      <c r="P16" s="42"/>
      <c r="Q16" s="44">
        <v>0</v>
      </c>
      <c r="R16" s="44"/>
      <c r="S16" s="42" t="s">
        <v>53</v>
      </c>
      <c r="T16" s="42">
        <v>0</v>
      </c>
      <c r="U16" s="42">
        <v>1</v>
      </c>
      <c r="V16" s="42">
        <v>1</v>
      </c>
      <c r="W16" s="42"/>
      <c r="X16" s="42"/>
      <c r="Y16" s="42">
        <v>0</v>
      </c>
      <c r="Z16" s="42">
        <v>0</v>
      </c>
      <c r="AA16" s="40"/>
      <c r="AB16" s="31">
        <v>0</v>
      </c>
      <c r="AC16" s="31"/>
      <c r="AD16" s="31"/>
      <c r="AE16" s="31"/>
      <c r="AF16" s="31"/>
      <c r="AG16" s="31">
        <v>0</v>
      </c>
      <c r="AH16" s="31">
        <v>0</v>
      </c>
      <c r="AI16" s="31">
        <v>0</v>
      </c>
      <c r="AJ16" s="31"/>
      <c r="AK16" s="39"/>
      <c r="AL16" s="39"/>
      <c r="AM16" s="39"/>
      <c r="AN16" s="39"/>
      <c r="AO16" s="39"/>
      <c r="AP16" s="39"/>
      <c r="AQ16" s="39"/>
      <c r="AR16" s="39"/>
      <c r="AS16" s="39">
        <v>0</v>
      </c>
      <c r="AT16" s="39">
        <v>0</v>
      </c>
      <c r="AU16" s="39">
        <v>0</v>
      </c>
      <c r="AV16" s="39">
        <v>0</v>
      </c>
      <c r="AW16" s="39">
        <f t="shared" ref="AW16" si="14">BIN2DEC(CONCATENATE(0,0,0,0,AS16,AT16,AU16,AV16))</f>
        <v>0</v>
      </c>
      <c r="AX16" s="39" t="s">
        <v>72</v>
      </c>
      <c r="AY16" s="39"/>
      <c r="AZ16" s="44"/>
      <c r="BA16" s="39"/>
      <c r="BB16" s="39"/>
      <c r="BC16" s="39"/>
      <c r="BD16" s="39"/>
      <c r="BE16" s="39"/>
      <c r="BF16" s="39"/>
      <c r="BG16" s="39"/>
      <c r="BH16" s="29" t="str">
        <f t="shared" ref="BH16" si="15">CONCATENATE("description: """,F16,"""", ", ", "note: """,E16,"""",", ","group: """, B16, """",", ","minValue: ", T16,", ","maxValue: ", U16,", ","step: ", V16,", ","units: """, S16, """",", ","defaultValue: ", Y16,", ","eventRegistration: ", Z16,)</f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E15" sqref="E15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101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252</v>
      </c>
    </row>
    <row r="7" spans="1:2" x14ac:dyDescent="0.25">
      <c r="A7" s="52" t="s">
        <v>109</v>
      </c>
      <c r="B7" s="50">
        <v>1</v>
      </c>
    </row>
    <row r="8" spans="1:2" x14ac:dyDescent="0.25">
      <c r="A8" s="56" t="s">
        <v>249</v>
      </c>
      <c r="B8" t="s">
        <v>250</v>
      </c>
    </row>
    <row r="9" spans="1:2" x14ac:dyDescent="0.25">
      <c r="A9" s="56" t="s">
        <v>251</v>
      </c>
      <c r="B9" s="56"/>
    </row>
    <row r="10" spans="1:2" x14ac:dyDescent="0.25">
      <c r="A10" s="57" t="s">
        <v>101</v>
      </c>
      <c r="B10" t="s">
        <v>250</v>
      </c>
    </row>
    <row r="11" spans="1:2" x14ac:dyDescent="0.25">
      <c r="A11" s="56" t="s">
        <v>251</v>
      </c>
      <c r="B11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2025-07-18T11:27:07Z</dcterms:modified>
</cp:coreProperties>
</file>