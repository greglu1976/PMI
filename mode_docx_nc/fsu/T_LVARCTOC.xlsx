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BH5" i="6" l="1"/>
  <c r="AW5" i="6"/>
  <c r="K5" i="6"/>
  <c r="J5" i="6"/>
  <c r="I11" i="4"/>
  <c r="J11" i="4"/>
  <c r="I12" i="4"/>
  <c r="J12" i="4"/>
  <c r="I13" i="4"/>
  <c r="J13" i="4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7" i="5" l="1"/>
  <c r="AV8" i="5"/>
  <c r="AV9" i="5"/>
  <c r="AV10" i="5"/>
  <c r="BG7" i="4" l="1"/>
  <c r="AV7" i="4"/>
  <c r="J7" i="4"/>
  <c r="I7" i="4"/>
  <c r="BG10" i="5" l="1"/>
  <c r="BG9" i="5"/>
  <c r="BG8" i="5"/>
  <c r="BG7" i="5"/>
  <c r="BH4" i="6"/>
  <c r="AW4" i="6"/>
  <c r="AQ4" i="6"/>
  <c r="K4" i="6"/>
  <c r="J4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BG12" i="4"/>
  <c r="AV12" i="4"/>
  <c r="BG11" i="4"/>
  <c r="AV11" i="4"/>
  <c r="AP11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<sst xmlns="http://schemas.openxmlformats.org/spreadsheetml/2006/main" count="541" uniqueCount="189">
  <si>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</si>
  <si>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</si>
  <si>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</si>
  <si>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</si>
  <si>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</si>
  <si>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</si>
  <si>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</si>
  <si>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</si>
  <si>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</si>
  <si>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</si>
  <si>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</si>
  <si>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</si>
  <si>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</si>
  <si>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</si>
  <si>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</si>
  <si>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</si>
  <si>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</si>
  <si>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</si>
  <si>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</si>
  <si>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</si>
  <si>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</si>
  <si>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</si>
  <si>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</si>
  <si>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</si>
  <si>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</si>
  <si>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</si>
  <si>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</si>
  <si>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</si>
  <si>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</si>
  <si>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</si>
  <si>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</si>
  <si>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</si>
  <si>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</si>
  <si>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</si>
  <si>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</si>
  <si>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</si>
  <si>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</si>
  <si>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</si>
  <si>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</si>
  <si>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</si>
  <si>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</si>
  <si>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</si>
  <si>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</si>
  <si>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</si>
  <si>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</si>
  <si>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</si>
  <si>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</si>
  <si>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</si>
  <si>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</si>
  <si>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</si>
  <si>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</si>
  <si>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</si>
  <si>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</si>
  <si>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</si>
  <si>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</si>
  <si>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</si>
  <si>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</si>
  <si>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</si>
  <si>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</si>
  <si>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</si>
  <si>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</si>
  <si>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</si>
  <si>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</si>
  <si>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</si>
  <si>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</si>
  <si>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</si>
  <si>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</si>
  <si>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</si>
  <si>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</si>
  <si>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</si>
  <si>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</si>
  <si>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</si>
  <si>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</si>
  <si>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</si>
  <si>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</si>
  <si>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</si>
  <si>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</si>
  <si>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</si>
  <si>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</si>
  <si>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</si>
  <si>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</si>
  <si>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</si>
  <si>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</si>
  <si>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</si>
  <si>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</si>
  <si>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</si>
  <si>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</si>
  <si>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</si>
  <si>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</si>
  <si>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</si>
  <si>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</si>
  <si>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</si>
  <si>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</si>
  <si>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</si>
  <si>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</si>
  <si>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</si>
  <si>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</si>
  <si>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</si>
  <si>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</si>
  <si>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</si>
  <si>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</si>
  <si>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</si>
  <si>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</si>
  <si>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</si>
  <si>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</si>
  <si>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</si>
  <si>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</si>
  <si>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</si>
  <si>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</si>
  <si>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</si>
  <si>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</si>
  <si>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</si>
  <si>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</si>
  <si>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</si>
  <si>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</si>
  <si>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</si>
  <si>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</si>
  <si>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</si>
  <si>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</si>
  <si>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</si>
  <si>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</si>
  <si>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</si>
  <si>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</si>
  <si>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</si>
  <si>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</si>
  <si>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</si>
  <si>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</si>
  <si>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</si>
  <si>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PTOC1_FuncEnabled</t>
  </si>
  <si>
    <t>PTOC1_FuncOperDisabled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</si>
  <si>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</si>
  <si>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</si>
  <si>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</si>
  <si>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</si>
  <si>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</si>
  <si>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</si>
  <si>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</si>
  <si>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</si>
  <si>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</si>
  <si>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</si>
  <si>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</si>
  <si>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</si>
  <si>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</si>
  <si>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</si>
  <si>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</si>
  <si>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</si>
  <si>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</si>
  <si>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</si>
  <si>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</si>
  <si>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</si>
  <si>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</si>
  <si>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ТК ЗДЗ</t>
  </si>
  <si>
    <t>Оперативный вывод функции ТК ЗДЗ</t>
  </si>
  <si>
    <t>ОВ ТК ЗДЗ</t>
  </si>
  <si>
    <t>LVARCTOC_operOutFunction</t>
  </si>
  <si>
    <t>Индикация поведения логического узла ТК ЗДЗ</t>
  </si>
  <si>
    <t>Индикация исправности логического узла ТК ЗДЗ</t>
  </si>
  <si>
    <t>I&gt;</t>
  </si>
  <si>
    <t>SG</t>
  </si>
  <si>
    <t>FbVersion</t>
  </si>
  <si>
    <t>Пуск первой ступени МТЗ</t>
  </si>
  <si>
    <t>Пуск МТЗ 1ст</t>
  </si>
  <si>
    <t>PTOC1Str</t>
  </si>
  <si>
    <t>Пуск второй ступени МТЗ</t>
  </si>
  <si>
    <t>Пуск МТЗ 2ст</t>
  </si>
  <si>
    <t>PTOC2Str</t>
  </si>
  <si>
    <t>Пуск третьей ступени МТЗ</t>
  </si>
  <si>
    <t>Пуск МТЗ 3ст</t>
  </si>
  <si>
    <t>PTOC3Str</t>
  </si>
  <si>
    <t>Пуск ИО максимального тока</t>
  </si>
  <si>
    <t>ИО Iмакс</t>
  </si>
  <si>
    <t>Выбор пускового органа</t>
  </si>
  <si>
    <t>Выбор_пуск</t>
  </si>
  <si>
    <t>SGF2</t>
  </si>
  <si>
    <t>0 - Внутренний, 1 - МТЗ 1 ст, 2 - МТЗ 2 ст, 3 - МТЗ 3 ст</t>
  </si>
  <si>
    <t>PTOC1_StrMod</t>
  </si>
  <si>
    <t>INT8</t>
  </si>
  <si>
    <t>Internal_PTOC123</t>
  </si>
  <si>
    <t>control</t>
  </si>
  <si>
    <t>Logger</t>
  </si>
  <si>
    <t>Disturber</t>
  </si>
  <si>
    <t>StartDisturber</t>
  </si>
  <si>
    <t>status</t>
  </si>
  <si>
    <t>DescriptionFB</t>
  </si>
  <si>
    <t>Контроль тока ЗДЗ</t>
  </si>
  <si>
    <t>DescriptionFuncList</t>
  </si>
  <si>
    <t>T_LVARCTOC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</si>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</sst>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0" fillId="7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M1" zoomScale="80" zoomScaleNormal="80" workbookViewId="0">
      <selection activeCell="AS9" sqref="AS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179</v>
      </c>
      <c r="AW2" s="56" t="s">
        <v>180</v>
      </c>
      <c r="AX2" s="56" t="s">
        <v>181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7" si="0">LEN(F3)</f>
        <v>10</v>
      </c>
      <c r="J3" s="34" t="str">
        <f t="shared" ref="J3:J8" si="1"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6">
        <v>0</v>
      </c>
      <c r="AS3" s="46">
        <v>0</v>
      </c>
      <c r="AT3" s="46">
        <v>0</v>
      </c>
      <c r="AU3" s="46">
        <v>0</v>
      </c>
      <c r="AV3" s="46">
        <f t="shared" ref="AV3:AV8" si="2">BIN2DEC(CONCATENATE(0,0,0,0,AR3,AS3,AT3,AU3))</f>
        <v>0</v>
      </c>
      <c r="AW3" s="46">
        <v>0</v>
      </c>
      <c r="AX3" s="46">
        <f t="shared" ref="AX3:AX13" si="3">BIN2DEC(CONCATENATE(0,0,0,0,AT3,AU3,AV3,AW3))</f>
        <v>0</v>
      </c>
      <c r="AY3" s="46"/>
      <c r="AZ3" s="37"/>
      <c r="BA3" s="46"/>
      <c r="BB3" s="46"/>
      <c r="BC3" s="40"/>
      <c r="BD3" s="46"/>
      <c r="BE3" s="41"/>
      <c r="BF3" s="46"/>
      <c r="BG3" s="42" t="str">
        <f t="shared" ref="BG3:BG8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3"/>
    </row>
    <row r="4" spans="1:16379" s="51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 t="shared" si="1"/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f t="shared" si="3"/>
        <v>0</v>
      </c>
      <c r="AY4" s="46"/>
      <c r="AZ4" s="37"/>
      <c r="BA4" s="46"/>
      <c r="BB4" s="46"/>
      <c r="BC4" s="40"/>
      <c r="BD4" s="46"/>
      <c r="BE4" s="41"/>
      <c r="BF4" s="46"/>
      <c r="BG4" s="42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3"/>
    </row>
    <row r="5" spans="1:16379" s="51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 t="shared" si="1"/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f t="shared" si="3"/>
        <v>0</v>
      </c>
      <c r="AY5" s="46"/>
      <c r="AZ5" s="37"/>
      <c r="BA5" s="46"/>
      <c r="BB5" s="46"/>
      <c r="BC5" s="40"/>
      <c r="BD5" s="46"/>
      <c r="BE5" s="41"/>
      <c r="BF5" s="46"/>
      <c r="BG5" s="42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3"/>
    </row>
    <row r="6" spans="1:16379" s="51" customFormat="1" ht="15.75" x14ac:dyDescent="0.25">
      <c r="A6" s="31"/>
      <c r="B6" s="55" t="s">
        <v>178</v>
      </c>
      <c r="C6" s="32"/>
      <c r="D6" s="33"/>
      <c r="E6" s="34" t="s">
        <v>107</v>
      </c>
      <c r="F6" s="35" t="s">
        <v>107</v>
      </c>
      <c r="G6" s="35" t="s">
        <v>107</v>
      </c>
      <c r="H6" s="34"/>
      <c r="I6" s="34">
        <f t="shared" si="0"/>
        <v>15</v>
      </c>
      <c r="J6" s="34" t="str">
        <f t="shared" si="1"/>
        <v>Вывод терминала</v>
      </c>
      <c r="K6" s="31" t="s">
        <v>108</v>
      </c>
      <c r="L6" s="36" t="s">
        <v>54</v>
      </c>
      <c r="M6" s="32" t="s">
        <v>51</v>
      </c>
      <c r="N6" s="32" t="s">
        <v>52</v>
      </c>
      <c r="O6" s="32"/>
      <c r="P6" s="37"/>
      <c r="Q6" s="37"/>
      <c r="R6" s="32" t="s">
        <v>53</v>
      </c>
      <c r="S6" s="32" t="s">
        <v>53</v>
      </c>
      <c r="T6" s="32" t="s">
        <v>53</v>
      </c>
      <c r="U6" s="32" t="s">
        <v>53</v>
      </c>
      <c r="V6" s="32"/>
      <c r="W6" s="32"/>
      <c r="X6" s="32" t="s">
        <v>53</v>
      </c>
      <c r="Y6" s="32">
        <v>0</v>
      </c>
      <c r="Z6" s="38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/>
      <c r="AJ6" s="39"/>
      <c r="AK6" s="39"/>
      <c r="AL6" s="39"/>
      <c r="AM6" s="39"/>
      <c r="AN6" s="39"/>
      <c r="AO6" s="39"/>
      <c r="AP6" s="39"/>
      <c r="AQ6" s="39"/>
      <c r="AR6" s="46">
        <v>0</v>
      </c>
      <c r="AS6" s="46">
        <v>0</v>
      </c>
      <c r="AT6" s="46">
        <v>0</v>
      </c>
      <c r="AU6" s="46">
        <v>0</v>
      </c>
      <c r="AV6" s="46">
        <f t="shared" si="2"/>
        <v>0</v>
      </c>
      <c r="AW6" s="46">
        <v>0</v>
      </c>
      <c r="AX6" s="46">
        <f t="shared" si="3"/>
        <v>0</v>
      </c>
      <c r="AY6" s="46"/>
      <c r="AZ6" s="37"/>
      <c r="BA6" s="46"/>
      <c r="BB6" s="46"/>
      <c r="BC6" s="40"/>
      <c r="BD6" s="46"/>
      <c r="BE6" s="41"/>
      <c r="BF6" s="46"/>
      <c r="BG6" s="42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6" s="43"/>
    </row>
    <row r="7" spans="1:16379" s="51" customFormat="1" ht="15.75" x14ac:dyDescent="0.25">
      <c r="A7" s="31"/>
      <c r="B7" s="55" t="s">
        <v>178</v>
      </c>
      <c r="C7" s="32"/>
      <c r="D7" s="52" t="s">
        <v>151</v>
      </c>
      <c r="E7" s="34" t="s">
        <v>152</v>
      </c>
      <c r="F7" s="35" t="s">
        <v>153</v>
      </c>
      <c r="G7" s="35" t="s">
        <v>153</v>
      </c>
      <c r="H7" s="34"/>
      <c r="I7" s="34">
        <f t="shared" si="0"/>
        <v>9</v>
      </c>
      <c r="J7" s="34" t="str">
        <f t="shared" si="1"/>
        <v>ОВ ТК ЗДЗ</v>
      </c>
      <c r="K7" s="31" t="s">
        <v>154</v>
      </c>
      <c r="L7" s="36" t="s">
        <v>54</v>
      </c>
      <c r="M7" s="32" t="s">
        <v>51</v>
      </c>
      <c r="N7" s="32" t="s">
        <v>52</v>
      </c>
      <c r="O7" s="32"/>
      <c r="P7" s="37"/>
      <c r="Q7" s="37"/>
      <c r="R7" s="32" t="s">
        <v>53</v>
      </c>
      <c r="S7" s="32" t="s">
        <v>53</v>
      </c>
      <c r="T7" s="32" t="s">
        <v>53</v>
      </c>
      <c r="U7" s="32" t="s">
        <v>53</v>
      </c>
      <c r="V7" s="32"/>
      <c r="W7" s="32"/>
      <c r="X7" s="32" t="s">
        <v>53</v>
      </c>
      <c r="Y7" s="32">
        <v>0</v>
      </c>
      <c r="Z7" s="38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/>
      <c r="AJ7" s="39"/>
      <c r="AK7" s="39"/>
      <c r="AL7" s="39"/>
      <c r="AM7" s="39"/>
      <c r="AN7" s="39"/>
      <c r="AO7" s="39"/>
      <c r="AP7" s="39"/>
      <c r="AQ7" s="39"/>
      <c r="AR7" s="46">
        <v>0</v>
      </c>
      <c r="AS7" s="46">
        <v>0</v>
      </c>
      <c r="AT7" s="46">
        <v>0</v>
      </c>
      <c r="AU7" s="46">
        <v>0</v>
      </c>
      <c r="AV7" s="46">
        <f t="shared" si="2"/>
        <v>0</v>
      </c>
      <c r="AW7" s="46">
        <v>0</v>
      </c>
      <c r="AX7" s="46">
        <f t="shared" si="3"/>
        <v>0</v>
      </c>
      <c r="AY7" s="46"/>
      <c r="AZ7" s="37"/>
      <c r="BA7" s="46"/>
      <c r="BB7" s="46"/>
      <c r="BC7" s="40"/>
      <c r="BD7" s="46"/>
      <c r="BE7" s="41"/>
      <c r="BF7" s="46"/>
      <c r="BG7" s="42" t="str">
        <f t="shared" si="4"/>
        <v>description: "ОВ ТК ЗДЗ", note: "Оперативный вывод функции ТК ЗДЗ", group: "control", minValue: null, maxValue: null, step: null, units: "null", defaultValue: null, eventRegistration: 0</v>
      </c>
      <c r="BH7" s="43"/>
    </row>
    <row r="8" spans="1:16379" s="51" customFormat="1" ht="15.75" x14ac:dyDescent="0.25">
      <c r="A8" s="31"/>
      <c r="B8" s="31" t="s">
        <v>50</v>
      </c>
      <c r="C8" s="32"/>
      <c r="D8" s="52"/>
      <c r="E8" s="34" t="s">
        <v>160</v>
      </c>
      <c r="F8" s="35" t="s">
        <v>161</v>
      </c>
      <c r="G8" s="35" t="s">
        <v>161</v>
      </c>
      <c r="H8" s="34"/>
      <c r="I8" s="34">
        <f t="shared" ref="I8" si="5">LEN(F8)</f>
        <v>12</v>
      </c>
      <c r="J8" s="34" t="str">
        <f t="shared" si="1"/>
        <v>Пуск МТЗ 1ст</v>
      </c>
      <c r="K8" s="31" t="s">
        <v>162</v>
      </c>
      <c r="L8" s="36" t="s">
        <v>54</v>
      </c>
      <c r="M8" s="32" t="s">
        <v>51</v>
      </c>
      <c r="N8" s="32" t="s">
        <v>52</v>
      </c>
      <c r="O8" s="32"/>
      <c r="P8" s="37"/>
      <c r="Q8" s="37"/>
      <c r="R8" s="32" t="s">
        <v>53</v>
      </c>
      <c r="S8" s="32" t="s">
        <v>53</v>
      </c>
      <c r="T8" s="32" t="s">
        <v>53</v>
      </c>
      <c r="U8" s="32" t="s">
        <v>53</v>
      </c>
      <c r="V8" s="32"/>
      <c r="W8" s="32"/>
      <c r="X8" s="32" t="s">
        <v>53</v>
      </c>
      <c r="Y8" s="32">
        <v>0</v>
      </c>
      <c r="Z8" s="38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/>
      <c r="AJ8" s="39"/>
      <c r="AK8" s="39"/>
      <c r="AL8" s="39"/>
      <c r="AM8" s="39"/>
      <c r="AN8" s="39"/>
      <c r="AO8" s="39"/>
      <c r="AP8" s="39"/>
      <c r="AQ8" s="39"/>
      <c r="AR8" s="46">
        <v>0</v>
      </c>
      <c r="AS8" s="46">
        <v>0</v>
      </c>
      <c r="AT8" s="46">
        <v>0</v>
      </c>
      <c r="AU8" s="46">
        <v>0</v>
      </c>
      <c r="AV8" s="46">
        <f t="shared" si="2"/>
        <v>0</v>
      </c>
      <c r="AW8" s="46">
        <v>0</v>
      </c>
      <c r="AX8" s="46">
        <f t="shared" si="3"/>
        <v>0</v>
      </c>
      <c r="AY8" s="46"/>
      <c r="AZ8" s="37"/>
      <c r="BA8" s="46"/>
      <c r="BB8" s="46"/>
      <c r="BC8" s="40"/>
      <c r="BD8" s="46"/>
      <c r="BE8" s="41"/>
      <c r="BF8" s="46"/>
      <c r="BG8" s="42" t="str">
        <f t="shared" si="4"/>
        <v>description: "Пуск МТЗ 1ст", note: "Пуск первой ступени МТЗ", group: "measurement", minValue: null, maxValue: null, step: null, units: "null", defaultValue: null, eventRegistration: 0</v>
      </c>
      <c r="BH8" s="43"/>
    </row>
    <row r="9" spans="1:16379" s="51" customFormat="1" ht="15.75" x14ac:dyDescent="0.25">
      <c r="A9" s="31"/>
      <c r="B9" s="31" t="s">
        <v>50</v>
      </c>
      <c r="C9" s="32"/>
      <c r="D9" s="52"/>
      <c r="E9" s="34" t="s">
        <v>163</v>
      </c>
      <c r="F9" s="35" t="s">
        <v>164</v>
      </c>
      <c r="G9" s="35" t="s">
        <v>164</v>
      </c>
      <c r="H9" s="34"/>
      <c r="I9" s="34">
        <f t="shared" ref="I9:I10" si="6">LEN(F9)</f>
        <v>12</v>
      </c>
      <c r="J9" s="34" t="str">
        <f t="shared" ref="J9:J10" si="7">IF(LEN(F9)&lt;=$J$1,F9,"")</f>
        <v>Пуск МТЗ 2ст</v>
      </c>
      <c r="K9" s="31" t="s">
        <v>165</v>
      </c>
      <c r="L9" s="36" t="s">
        <v>54</v>
      </c>
      <c r="M9" s="32" t="s">
        <v>51</v>
      </c>
      <c r="N9" s="32" t="s">
        <v>52</v>
      </c>
      <c r="O9" s="32"/>
      <c r="P9" s="37"/>
      <c r="Q9" s="37"/>
      <c r="R9" s="32" t="s">
        <v>53</v>
      </c>
      <c r="S9" s="32" t="s">
        <v>53</v>
      </c>
      <c r="T9" s="32" t="s">
        <v>53</v>
      </c>
      <c r="U9" s="32" t="s">
        <v>53</v>
      </c>
      <c r="V9" s="32"/>
      <c r="W9" s="32"/>
      <c r="X9" s="32" t="s">
        <v>53</v>
      </c>
      <c r="Y9" s="32">
        <v>0</v>
      </c>
      <c r="Z9" s="38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/>
      <c r="AJ9" s="39"/>
      <c r="AK9" s="39"/>
      <c r="AL9" s="39"/>
      <c r="AM9" s="39"/>
      <c r="AN9" s="39"/>
      <c r="AO9" s="39"/>
      <c r="AP9" s="39"/>
      <c r="AQ9" s="39"/>
      <c r="AR9" s="46">
        <v>0</v>
      </c>
      <c r="AS9" s="46">
        <v>0</v>
      </c>
      <c r="AT9" s="46">
        <v>0</v>
      </c>
      <c r="AU9" s="46">
        <v>0</v>
      </c>
      <c r="AV9" s="46">
        <f t="shared" ref="AV9:AV10" si="8">BIN2DEC(CONCATENATE(0,0,0,0,AR9,AS9,AT9,AU9))</f>
        <v>0</v>
      </c>
      <c r="AW9" s="46">
        <v>0</v>
      </c>
      <c r="AX9" s="46">
        <f t="shared" si="3"/>
        <v>0</v>
      </c>
      <c r="AY9" s="46"/>
      <c r="AZ9" s="37"/>
      <c r="BA9" s="46"/>
      <c r="BB9" s="46"/>
      <c r="BC9" s="40"/>
      <c r="BD9" s="46"/>
      <c r="BE9" s="41"/>
      <c r="BF9" s="46"/>
      <c r="BG9" s="42" t="str">
        <f t="shared" ref="BG9:BG10" si="9">CONCATENATE("description: """,F9,"""", ", ", "note: """,E9,"""",", ","group: """, B9, """",", ","minValue: ", S9,", ","maxValue: ", T9,", ","step: ", U9,", ","units: """, R9, """",", ","defaultValue: ", X9,", ","eventRegistration: ", Y9,)</f>
        <v>description: "Пуск МТЗ 2ст", note: "Пуск второй ступени МТЗ", group: "measurement", minValue: null, maxValue: null, step: null, units: "null", defaultValue: null, eventRegistration: 0</v>
      </c>
      <c r="BH9" s="43"/>
    </row>
    <row r="10" spans="1:16379" s="51" customFormat="1" ht="15.75" x14ac:dyDescent="0.25">
      <c r="A10" s="31"/>
      <c r="B10" s="31" t="s">
        <v>50</v>
      </c>
      <c r="C10" s="32"/>
      <c r="D10" s="52"/>
      <c r="E10" s="34" t="s">
        <v>166</v>
      </c>
      <c r="F10" s="35" t="s">
        <v>167</v>
      </c>
      <c r="G10" s="35" t="s">
        <v>167</v>
      </c>
      <c r="H10" s="34"/>
      <c r="I10" s="34">
        <f t="shared" si="6"/>
        <v>12</v>
      </c>
      <c r="J10" s="34" t="str">
        <f t="shared" si="7"/>
        <v>Пуск МТЗ 3ст</v>
      </c>
      <c r="K10" s="31" t="s">
        <v>168</v>
      </c>
      <c r="L10" s="36" t="s">
        <v>54</v>
      </c>
      <c r="M10" s="32" t="s">
        <v>51</v>
      </c>
      <c r="N10" s="32" t="s">
        <v>52</v>
      </c>
      <c r="O10" s="32"/>
      <c r="P10" s="37"/>
      <c r="Q10" s="37"/>
      <c r="R10" s="32" t="s">
        <v>53</v>
      </c>
      <c r="S10" s="32" t="s">
        <v>53</v>
      </c>
      <c r="T10" s="32" t="s">
        <v>53</v>
      </c>
      <c r="U10" s="32" t="s">
        <v>53</v>
      </c>
      <c r="V10" s="32"/>
      <c r="W10" s="32"/>
      <c r="X10" s="32" t="s">
        <v>53</v>
      </c>
      <c r="Y10" s="32">
        <v>0</v>
      </c>
      <c r="Z10" s="38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/>
      <c r="AJ10" s="39"/>
      <c r="AK10" s="39"/>
      <c r="AL10" s="39"/>
      <c r="AM10" s="39"/>
      <c r="AN10" s="39"/>
      <c r="AO10" s="39"/>
      <c r="AP10" s="39"/>
      <c r="AQ10" s="39"/>
      <c r="AR10" s="46">
        <v>0</v>
      </c>
      <c r="AS10" s="46">
        <v>0</v>
      </c>
      <c r="AT10" s="46">
        <v>0</v>
      </c>
      <c r="AU10" s="46">
        <v>0</v>
      </c>
      <c r="AV10" s="46">
        <f t="shared" si="8"/>
        <v>0</v>
      </c>
      <c r="AW10" s="46">
        <v>0</v>
      </c>
      <c r="AX10" s="46">
        <f t="shared" si="3"/>
        <v>0</v>
      </c>
      <c r="AY10" s="46"/>
      <c r="AZ10" s="37"/>
      <c r="BA10" s="46"/>
      <c r="BB10" s="46"/>
      <c r="BC10" s="40"/>
      <c r="BD10" s="46"/>
      <c r="BE10" s="41"/>
      <c r="BF10" s="46"/>
      <c r="BG10" s="42" t="str">
        <f t="shared" si="9"/>
        <v>description: "Пуск МТЗ 3ст", note: "Пуск третьей ступени МТЗ", group: "measurement", minValue: null, maxValue: null, step: null, units: "null", defaultValue: null, eventRegistration: 0</v>
      </c>
      <c r="BH10" s="43"/>
    </row>
    <row r="11" spans="1:16379" s="21" customFormat="1" ht="15.75" x14ac:dyDescent="0.25">
      <c r="A11" s="19"/>
      <c r="B11" s="31" t="s">
        <v>50</v>
      </c>
      <c r="C11" s="20"/>
      <c r="D11" s="9"/>
      <c r="E11" s="35" t="s">
        <v>55</v>
      </c>
      <c r="F11" s="35" t="s">
        <v>56</v>
      </c>
      <c r="G11" s="35" t="s">
        <v>56</v>
      </c>
      <c r="H11" s="9"/>
      <c r="I11" s="34">
        <f t="shared" ref="I11:I13" si="10">LEN(F11)</f>
        <v>10</v>
      </c>
      <c r="J11" s="34" t="str">
        <f t="shared" ref="J11:J13" si="11">IF(LEN(F11)&lt;=$J$1,F11,"")</f>
        <v>Насл.режим</v>
      </c>
      <c r="K11" s="48" t="s">
        <v>58</v>
      </c>
      <c r="L11" s="45" t="s">
        <v>57</v>
      </c>
      <c r="M11" s="32" t="s">
        <v>51</v>
      </c>
      <c r="N11" s="32" t="s">
        <v>52</v>
      </c>
      <c r="O11" s="32"/>
      <c r="P11" s="20"/>
      <c r="Q11" s="20"/>
      <c r="R11" s="32" t="s">
        <v>53</v>
      </c>
      <c r="S11" s="32" t="s">
        <v>53</v>
      </c>
      <c r="T11" s="32" t="s">
        <v>53</v>
      </c>
      <c r="U11" s="32" t="s">
        <v>53</v>
      </c>
      <c r="V11" s="20"/>
      <c r="W11" s="20"/>
      <c r="X11" s="32" t="s">
        <v>53</v>
      </c>
      <c r="Y11" s="47">
        <v>0</v>
      </c>
      <c r="Z11" s="20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50" t="s">
        <v>96</v>
      </c>
      <c r="AJ11" s="44" t="s">
        <v>112</v>
      </c>
      <c r="AK11" s="44" t="s">
        <v>59</v>
      </c>
      <c r="AL11" s="44" t="s">
        <v>60</v>
      </c>
      <c r="AM11" s="44" t="s">
        <v>61</v>
      </c>
      <c r="AN11" s="44"/>
      <c r="AO11" s="44" t="s">
        <v>62</v>
      </c>
      <c r="AP11" s="44" t="str">
        <f>CONCATENATE(AJ11, ".", AL11)</f>
        <v>LLN0.GrRef.setSrcRef</v>
      </c>
      <c r="AQ11" s="44" t="s">
        <v>63</v>
      </c>
      <c r="AR11" s="46">
        <v>0</v>
      </c>
      <c r="AS11" s="46">
        <v>0</v>
      </c>
      <c r="AT11" s="46">
        <v>0</v>
      </c>
      <c r="AU11" s="46">
        <v>0</v>
      </c>
      <c r="AV11" s="46">
        <f t="shared" ref="AV11:AV13" si="12">BIN2DEC(CONCATENATE(0,0,0,0,AR11,AS11,AT11,AU11))</f>
        <v>0</v>
      </c>
      <c r="AW11" s="46">
        <v>0</v>
      </c>
      <c r="AX11" s="46">
        <f t="shared" si="3"/>
        <v>0</v>
      </c>
      <c r="AY11" s="49"/>
      <c r="AZ11" s="20"/>
      <c r="BA11" s="20"/>
      <c r="BB11" s="20"/>
      <c r="BC11" s="20"/>
      <c r="BD11" s="20"/>
      <c r="BE11" s="20"/>
      <c r="BF11" s="20"/>
      <c r="BG11" s="42" t="str">
        <f t="shared" ref="BG11:BG13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21" customFormat="1" ht="15.75" x14ac:dyDescent="0.25">
      <c r="A12" s="19"/>
      <c r="B12" s="31" t="s">
        <v>50</v>
      </c>
      <c r="C12" s="20"/>
      <c r="D12" s="9"/>
      <c r="E12" s="35" t="s">
        <v>68</v>
      </c>
      <c r="F12" s="35" t="s">
        <v>69</v>
      </c>
      <c r="G12" s="35" t="s">
        <v>69</v>
      </c>
      <c r="H12" s="9"/>
      <c r="I12" s="34">
        <f t="shared" si="10"/>
        <v>8</v>
      </c>
      <c r="J12" s="34" t="str">
        <f t="shared" si="11"/>
        <v>Ош.крит.</v>
      </c>
      <c r="K12" s="48" t="s">
        <v>70</v>
      </c>
      <c r="L12" s="36" t="s">
        <v>54</v>
      </c>
      <c r="M12" s="32" t="s">
        <v>51</v>
      </c>
      <c r="N12" s="32" t="s">
        <v>52</v>
      </c>
      <c r="O12" s="32"/>
      <c r="P12" s="20"/>
      <c r="Q12" s="20"/>
      <c r="R12" s="32" t="s">
        <v>53</v>
      </c>
      <c r="S12" s="32" t="s">
        <v>53</v>
      </c>
      <c r="T12" s="32" t="s">
        <v>53</v>
      </c>
      <c r="U12" s="32" t="s">
        <v>53</v>
      </c>
      <c r="V12" s="20"/>
      <c r="W12" s="20"/>
      <c r="X12" s="32" t="s">
        <v>53</v>
      </c>
      <c r="Y12" s="47">
        <v>0</v>
      </c>
      <c r="Z12" s="20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50"/>
      <c r="AJ12" s="44"/>
      <c r="AK12" s="44"/>
      <c r="AL12" s="44"/>
      <c r="AM12" s="44"/>
      <c r="AN12" s="44"/>
      <c r="AO12" s="44"/>
      <c r="AP12" s="44"/>
      <c r="AQ12" s="44"/>
      <c r="AR12" s="46">
        <v>0</v>
      </c>
      <c r="AS12" s="46">
        <v>0</v>
      </c>
      <c r="AT12" s="46">
        <v>0</v>
      </c>
      <c r="AU12" s="46">
        <v>0</v>
      </c>
      <c r="AV12" s="46">
        <f t="shared" si="12"/>
        <v>0</v>
      </c>
      <c r="AW12" s="46">
        <v>0</v>
      </c>
      <c r="AX12" s="46">
        <f t="shared" si="3"/>
        <v>0</v>
      </c>
      <c r="AY12" s="22"/>
      <c r="AZ12" s="23"/>
      <c r="BA12" s="23"/>
      <c r="BB12" s="23"/>
      <c r="BC12" s="23"/>
      <c r="BD12" s="23"/>
      <c r="BE12" s="23"/>
      <c r="BF12" s="23"/>
      <c r="BG12" s="42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21" customFormat="1" ht="15.75" x14ac:dyDescent="0.25">
      <c r="A13" s="19"/>
      <c r="B13" s="31" t="s">
        <v>50</v>
      </c>
      <c r="C13" s="20"/>
      <c r="D13" s="9"/>
      <c r="E13" s="35" t="s">
        <v>71</v>
      </c>
      <c r="F13" s="35" t="s">
        <v>72</v>
      </c>
      <c r="G13" s="35" t="s">
        <v>72</v>
      </c>
      <c r="H13" s="9"/>
      <c r="I13" s="34">
        <f t="shared" si="10"/>
        <v>6</v>
      </c>
      <c r="J13" s="34" t="str">
        <f t="shared" si="11"/>
        <v>Ошибка</v>
      </c>
      <c r="K13" s="48" t="s">
        <v>73</v>
      </c>
      <c r="L13" s="36" t="s">
        <v>54</v>
      </c>
      <c r="M13" s="32" t="s">
        <v>51</v>
      </c>
      <c r="N13" s="32" t="s">
        <v>52</v>
      </c>
      <c r="O13" s="32"/>
      <c r="P13" s="20"/>
      <c r="Q13" s="20"/>
      <c r="R13" s="32" t="s">
        <v>53</v>
      </c>
      <c r="S13" s="32" t="s">
        <v>53</v>
      </c>
      <c r="T13" s="32" t="s">
        <v>53</v>
      </c>
      <c r="U13" s="32" t="s">
        <v>53</v>
      </c>
      <c r="V13" s="20"/>
      <c r="W13" s="20"/>
      <c r="X13" s="32" t="s">
        <v>53</v>
      </c>
      <c r="Y13" s="47">
        <v>0</v>
      </c>
      <c r="Z13" s="20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50"/>
      <c r="AJ13" s="44"/>
      <c r="AK13" s="44"/>
      <c r="AL13" s="44"/>
      <c r="AM13" s="44"/>
      <c r="AN13" s="44"/>
      <c r="AO13" s="44"/>
      <c r="AP13" s="44"/>
      <c r="AQ13" s="44"/>
      <c r="AR13" s="46">
        <v>0</v>
      </c>
      <c r="AS13" s="46">
        <v>0</v>
      </c>
      <c r="AT13" s="46">
        <v>0</v>
      </c>
      <c r="AU13" s="46">
        <v>0</v>
      </c>
      <c r="AV13" s="46">
        <f t="shared" si="12"/>
        <v>0</v>
      </c>
      <c r="AW13" s="46">
        <v>0</v>
      </c>
      <c r="AX13" s="46">
        <f t="shared" si="3"/>
        <v>0</v>
      </c>
      <c r="AY13" s="22"/>
      <c r="AZ13" s="23"/>
      <c r="BA13" s="23"/>
      <c r="BB13" s="23"/>
      <c r="BC13" s="23"/>
      <c r="BD13" s="23"/>
      <c r="BE13" s="23"/>
      <c r="BF13" s="23"/>
      <c r="BG13" s="42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J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179</v>
      </c>
      <c r="AW2" s="56" t="s">
        <v>180</v>
      </c>
      <c r="AX2" s="56" t="s">
        <v>181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57" t="s">
        <v>182</v>
      </c>
      <c r="C3" s="20"/>
      <c r="D3" s="52" t="s">
        <v>151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8" t="s">
        <v>128</v>
      </c>
      <c r="L3" s="45" t="s">
        <v>54</v>
      </c>
      <c r="M3" s="47" t="s">
        <v>51</v>
      </c>
      <c r="N3" s="47" t="s">
        <v>52</v>
      </c>
      <c r="O3" s="47"/>
      <c r="P3" s="37"/>
      <c r="Q3" s="37"/>
      <c r="R3" s="47" t="s">
        <v>53</v>
      </c>
      <c r="S3" s="47" t="s">
        <v>53</v>
      </c>
      <c r="T3" s="47" t="s">
        <v>53</v>
      </c>
      <c r="U3" s="47" t="s">
        <v>53</v>
      </c>
      <c r="V3" s="20"/>
      <c r="W3" s="20"/>
      <c r="X3" s="47" t="s">
        <v>53</v>
      </c>
      <c r="Y3" s="47">
        <v>2</v>
      </c>
      <c r="Z3" s="20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44"/>
      <c r="AK3" s="44"/>
      <c r="AL3" s="44"/>
      <c r="AM3" s="44"/>
      <c r="AN3" s="44"/>
      <c r="AO3" s="44"/>
      <c r="AP3" s="44"/>
      <c r="AQ3" s="44"/>
      <c r="AR3" s="20">
        <v>0</v>
      </c>
      <c r="AS3" s="20">
        <v>1</v>
      </c>
      <c r="AT3" s="20">
        <v>0</v>
      </c>
      <c r="AU3" s="20">
        <v>1</v>
      </c>
      <c r="AV3" s="20">
        <v>1</v>
      </c>
      <c r="AW3" s="20">
        <v>1</v>
      </c>
      <c r="AX3" s="20">
        <v>1</v>
      </c>
      <c r="AY3" s="49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9"/>
      <c r="B4" s="57" t="s">
        <v>182</v>
      </c>
      <c r="C4" s="20"/>
      <c r="D4" s="52" t="s">
        <v>151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8" t="s">
        <v>129</v>
      </c>
      <c r="L4" s="45" t="s">
        <v>54</v>
      </c>
      <c r="M4" s="47" t="s">
        <v>51</v>
      </c>
      <c r="N4" s="47" t="s">
        <v>52</v>
      </c>
      <c r="O4" s="47"/>
      <c r="P4" s="37"/>
      <c r="Q4" s="37"/>
      <c r="R4" s="47" t="s">
        <v>53</v>
      </c>
      <c r="S4" s="47" t="s">
        <v>53</v>
      </c>
      <c r="T4" s="47" t="s">
        <v>53</v>
      </c>
      <c r="U4" s="47" t="s">
        <v>53</v>
      </c>
      <c r="V4" s="20"/>
      <c r="W4" s="20"/>
      <c r="X4" s="47" t="s">
        <v>53</v>
      </c>
      <c r="Y4" s="47">
        <v>2</v>
      </c>
      <c r="Z4" s="20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44"/>
      <c r="AK4" s="44"/>
      <c r="AL4" s="44"/>
      <c r="AM4" s="44"/>
      <c r="AN4" s="44"/>
      <c r="AO4" s="44"/>
      <c r="AP4" s="44"/>
      <c r="AQ4" s="44"/>
      <c r="AR4" s="20">
        <v>0</v>
      </c>
      <c r="AS4" s="20">
        <v>1</v>
      </c>
      <c r="AT4" s="20">
        <v>0</v>
      </c>
      <c r="AU4" s="20">
        <v>1</v>
      </c>
      <c r="AV4" s="20">
        <v>1</v>
      </c>
      <c r="AW4" s="20">
        <v>1</v>
      </c>
      <c r="AX4" s="20">
        <v>1</v>
      </c>
      <c r="AY4" s="49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9"/>
      <c r="B5" s="57" t="s">
        <v>182</v>
      </c>
      <c r="C5" s="20"/>
      <c r="D5" s="52" t="s">
        <v>151</v>
      </c>
      <c r="E5" s="35" t="s">
        <v>169</v>
      </c>
      <c r="F5" s="25" t="s">
        <v>170</v>
      </c>
      <c r="G5" s="25" t="s">
        <v>170</v>
      </c>
      <c r="H5" s="9"/>
      <c r="I5" s="35">
        <f>LEN(F5)</f>
        <v>8</v>
      </c>
      <c r="J5" s="35" t="str">
        <f>IF(LEN(F5)&lt;=$J$1,F5,"")</f>
        <v>ИО Iмакс</v>
      </c>
      <c r="K5" s="48" t="s">
        <v>131</v>
      </c>
      <c r="L5" s="45" t="s">
        <v>54</v>
      </c>
      <c r="M5" s="47" t="s">
        <v>51</v>
      </c>
      <c r="N5" s="47" t="s">
        <v>52</v>
      </c>
      <c r="O5" s="47"/>
      <c r="P5" s="37"/>
      <c r="Q5" s="37"/>
      <c r="R5" s="47" t="s">
        <v>53</v>
      </c>
      <c r="S5" s="47" t="s">
        <v>53</v>
      </c>
      <c r="T5" s="47" t="s">
        <v>53</v>
      </c>
      <c r="U5" s="47" t="s">
        <v>53</v>
      </c>
      <c r="V5" s="20"/>
      <c r="W5" s="20"/>
      <c r="X5" s="47" t="s">
        <v>53</v>
      </c>
      <c r="Y5" s="47">
        <v>2</v>
      </c>
      <c r="Z5" s="20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44"/>
      <c r="AK5" s="44"/>
      <c r="AL5" s="44"/>
      <c r="AM5" s="44"/>
      <c r="AN5" s="44"/>
      <c r="AO5" s="44"/>
      <c r="AP5" s="44"/>
      <c r="AQ5" s="44"/>
      <c r="AR5" s="20">
        <v>0</v>
      </c>
      <c r="AS5" s="20">
        <v>1</v>
      </c>
      <c r="AT5" s="20">
        <v>0</v>
      </c>
      <c r="AU5" s="20">
        <v>1</v>
      </c>
      <c r="AV5" s="20">
        <v>1</v>
      </c>
      <c r="AW5" s="20">
        <v>1</v>
      </c>
      <c r="AX5" s="20">
        <v>1</v>
      </c>
      <c r="AY5" s="49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21" customFormat="1" ht="15.75" x14ac:dyDescent="0.25">
      <c r="A6" s="19"/>
      <c r="B6" s="57" t="s">
        <v>182</v>
      </c>
      <c r="C6" s="20"/>
      <c r="D6" s="52" t="s">
        <v>151</v>
      </c>
      <c r="E6" s="35" t="s">
        <v>130</v>
      </c>
      <c r="F6" s="25" t="s">
        <v>130</v>
      </c>
      <c r="G6" s="25" t="s">
        <v>130</v>
      </c>
      <c r="H6" s="9"/>
      <c r="I6" s="35">
        <f>LEN(F6)</f>
        <v>4</v>
      </c>
      <c r="J6" s="35" t="str">
        <f>IF(LEN(F6)&lt;=$J$1,F6,"")</f>
        <v>Пуск</v>
      </c>
      <c r="K6" s="48" t="s">
        <v>132</v>
      </c>
      <c r="L6" s="45" t="s">
        <v>54</v>
      </c>
      <c r="M6" s="47" t="s">
        <v>51</v>
      </c>
      <c r="N6" s="47" t="s">
        <v>52</v>
      </c>
      <c r="O6" s="47"/>
      <c r="P6" s="37"/>
      <c r="Q6" s="37"/>
      <c r="R6" s="47" t="s">
        <v>53</v>
      </c>
      <c r="S6" s="47" t="s">
        <v>53</v>
      </c>
      <c r="T6" s="47" t="s">
        <v>53</v>
      </c>
      <c r="U6" s="47" t="s">
        <v>53</v>
      </c>
      <c r="V6" s="20"/>
      <c r="W6" s="20"/>
      <c r="X6" s="47" t="s">
        <v>53</v>
      </c>
      <c r="Y6" s="47">
        <v>2</v>
      </c>
      <c r="Z6" s="20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 t="s">
        <v>135</v>
      </c>
      <c r="AJ6" s="44" t="s">
        <v>138</v>
      </c>
      <c r="AK6" s="44" t="s">
        <v>139</v>
      </c>
      <c r="AL6" s="44" t="s">
        <v>78</v>
      </c>
      <c r="AM6" s="44" t="s">
        <v>110</v>
      </c>
      <c r="AN6" s="44"/>
      <c r="AO6" s="44" t="s">
        <v>67</v>
      </c>
      <c r="AP6" s="44" t="str">
        <f>CONCATENATE(AJ6, ".", AL6)</f>
        <v>PTOC1.Str.general</v>
      </c>
      <c r="AQ6" s="44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v>1</v>
      </c>
      <c r="AW6" s="20">
        <v>1</v>
      </c>
      <c r="AX6" s="20">
        <v>1</v>
      </c>
      <c r="AY6" s="49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21" customFormat="1" ht="15.75" x14ac:dyDescent="0.25">
      <c r="A7" s="19"/>
      <c r="B7" s="57" t="s">
        <v>182</v>
      </c>
      <c r="C7" s="20"/>
      <c r="D7" s="52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8" t="s">
        <v>81</v>
      </c>
      <c r="L7" s="45" t="s">
        <v>57</v>
      </c>
      <c r="M7" s="47" t="s">
        <v>51</v>
      </c>
      <c r="N7" s="47" t="s">
        <v>52</v>
      </c>
      <c r="O7" s="47"/>
      <c r="P7" s="20"/>
      <c r="Q7" s="20"/>
      <c r="R7" s="47" t="s">
        <v>53</v>
      </c>
      <c r="S7" s="47" t="s">
        <v>53</v>
      </c>
      <c r="T7" s="47" t="s">
        <v>53</v>
      </c>
      <c r="U7" s="47" t="s">
        <v>53</v>
      </c>
      <c r="V7" s="20"/>
      <c r="W7" s="20"/>
      <c r="X7" s="47" t="s">
        <v>53</v>
      </c>
      <c r="Y7" s="47">
        <v>0</v>
      </c>
      <c r="Z7" s="20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 t="s">
        <v>96</v>
      </c>
      <c r="AJ7" s="44" t="s">
        <v>113</v>
      </c>
      <c r="AK7" s="44" t="s">
        <v>82</v>
      </c>
      <c r="AL7" s="44" t="s">
        <v>64</v>
      </c>
      <c r="AM7" s="44" t="s">
        <v>65</v>
      </c>
      <c r="AN7" s="44" t="s">
        <v>66</v>
      </c>
      <c r="AO7" s="44" t="s">
        <v>67</v>
      </c>
      <c r="AP7" s="44" t="str">
        <f t="shared" ref="AP7:AP10" si="3">CONCATENATE(AJ7, ".", AL7)</f>
        <v>LLN0.Beh.stVal</v>
      </c>
      <c r="AQ7" s="44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f t="shared" ref="AV7:AV10" si="4">BIN2DEC(CONCATENATE(0,0,0,0,AR7,AS7,AT7,AU7))</f>
        <v>0</v>
      </c>
      <c r="AW7" s="20">
        <v>0</v>
      </c>
      <c r="AX7" s="20">
        <v>0</v>
      </c>
      <c r="AY7" s="49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1" customFormat="1" ht="15.75" x14ac:dyDescent="0.25">
      <c r="A8" s="19"/>
      <c r="B8" s="57" t="s">
        <v>182</v>
      </c>
      <c r="C8" s="20"/>
      <c r="D8" s="52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8" t="s">
        <v>85</v>
      </c>
      <c r="L8" s="45" t="s">
        <v>57</v>
      </c>
      <c r="M8" s="47" t="s">
        <v>51</v>
      </c>
      <c r="N8" s="47" t="s">
        <v>52</v>
      </c>
      <c r="O8" s="47"/>
      <c r="P8" s="37"/>
      <c r="Q8" s="37"/>
      <c r="R8" s="47" t="s">
        <v>53</v>
      </c>
      <c r="S8" s="47" t="s">
        <v>53</v>
      </c>
      <c r="T8" s="47" t="s">
        <v>53</v>
      </c>
      <c r="U8" s="47" t="s">
        <v>53</v>
      </c>
      <c r="V8" s="20"/>
      <c r="W8" s="20"/>
      <c r="X8" s="47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114</v>
      </c>
      <c r="AK8" s="44" t="s">
        <v>82</v>
      </c>
      <c r="AL8" s="44" t="s">
        <v>64</v>
      </c>
      <c r="AM8" s="44" t="s">
        <v>65</v>
      </c>
      <c r="AN8" s="44" t="s">
        <v>86</v>
      </c>
      <c r="AO8" s="44" t="s">
        <v>67</v>
      </c>
      <c r="AP8" s="44" t="str">
        <f t="shared" si="3"/>
        <v>LLN0.Health.stVal</v>
      </c>
      <c r="AQ8" s="44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f t="shared" si="4"/>
        <v>0</v>
      </c>
      <c r="AW8" s="20">
        <v>0</v>
      </c>
      <c r="AX8" s="20">
        <v>0</v>
      </c>
      <c r="AY8" s="49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1" customFormat="1" ht="15.75" x14ac:dyDescent="0.25">
      <c r="A9" s="19"/>
      <c r="B9" s="57" t="s">
        <v>182</v>
      </c>
      <c r="C9" s="20"/>
      <c r="D9" s="52" t="s">
        <v>151</v>
      </c>
      <c r="E9" s="35" t="s">
        <v>155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8" t="s">
        <v>133</v>
      </c>
      <c r="L9" s="45" t="s">
        <v>57</v>
      </c>
      <c r="M9" s="47" t="s">
        <v>51</v>
      </c>
      <c r="N9" s="47" t="s">
        <v>52</v>
      </c>
      <c r="O9" s="47"/>
      <c r="P9" s="20"/>
      <c r="Q9" s="20"/>
      <c r="R9" s="47" t="s">
        <v>53</v>
      </c>
      <c r="S9" s="47" t="s">
        <v>53</v>
      </c>
      <c r="T9" s="47" t="s">
        <v>53</v>
      </c>
      <c r="U9" s="47" t="s">
        <v>53</v>
      </c>
      <c r="V9" s="20"/>
      <c r="W9" s="20"/>
      <c r="X9" s="47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 t="s">
        <v>135</v>
      </c>
      <c r="AJ9" s="44" t="s">
        <v>136</v>
      </c>
      <c r="AK9" s="44" t="s">
        <v>82</v>
      </c>
      <c r="AL9" s="44" t="s">
        <v>64</v>
      </c>
      <c r="AM9" s="44" t="s">
        <v>65</v>
      </c>
      <c r="AN9" s="44" t="s">
        <v>66</v>
      </c>
      <c r="AO9" s="44" t="s">
        <v>67</v>
      </c>
      <c r="AP9" s="44" t="str">
        <f t="shared" si="3"/>
        <v>PTOC1.Beh.stVal</v>
      </c>
      <c r="AQ9" s="44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f t="shared" si="4"/>
        <v>0</v>
      </c>
      <c r="AW9" s="20">
        <v>0</v>
      </c>
      <c r="AX9" s="20">
        <v>0</v>
      </c>
      <c r="AY9" s="49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ТК ЗДЗ", group: "status", minValue: null, maxValue: null, step: null, units: "null", defaultValue: null, eventRegistration: 0</v>
      </c>
    </row>
    <row r="10" spans="1:16379" s="21" customFormat="1" ht="15.75" x14ac:dyDescent="0.25">
      <c r="A10" s="19"/>
      <c r="B10" s="57" t="s">
        <v>182</v>
      </c>
      <c r="C10" s="20"/>
      <c r="D10" s="52" t="s">
        <v>151</v>
      </c>
      <c r="E10" s="35" t="s">
        <v>156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8" t="s">
        <v>134</v>
      </c>
      <c r="L10" s="45" t="s">
        <v>57</v>
      </c>
      <c r="M10" s="47" t="s">
        <v>51</v>
      </c>
      <c r="N10" s="47" t="s">
        <v>52</v>
      </c>
      <c r="O10" s="47"/>
      <c r="P10" s="37"/>
      <c r="Q10" s="37"/>
      <c r="R10" s="47" t="s">
        <v>53</v>
      </c>
      <c r="S10" s="47" t="s">
        <v>53</v>
      </c>
      <c r="T10" s="47" t="s">
        <v>53</v>
      </c>
      <c r="U10" s="47" t="s">
        <v>53</v>
      </c>
      <c r="V10" s="20"/>
      <c r="W10" s="20"/>
      <c r="X10" s="47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 t="s">
        <v>135</v>
      </c>
      <c r="AJ10" s="44" t="s">
        <v>137</v>
      </c>
      <c r="AK10" s="44" t="s">
        <v>82</v>
      </c>
      <c r="AL10" s="44" t="s">
        <v>64</v>
      </c>
      <c r="AM10" s="44" t="s">
        <v>65</v>
      </c>
      <c r="AN10" s="44" t="s">
        <v>86</v>
      </c>
      <c r="AO10" s="44" t="s">
        <v>67</v>
      </c>
      <c r="AP10" s="44" t="str">
        <f t="shared" si="3"/>
        <v>PTOC1.Health.stVal</v>
      </c>
      <c r="AQ10" s="44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f t="shared" si="4"/>
        <v>0</v>
      </c>
      <c r="AW10" s="20">
        <v>0</v>
      </c>
      <c r="AX10" s="20">
        <v>0</v>
      </c>
      <c r="AY10" s="49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ТК ЗДЗ",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tabSelected="1" zoomScale="80" zoomScaleNormal="80" workbookViewId="0">
      <selection activeCell="G13" sqref="G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2851562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52.42578125" style="2" bestFit="1" customWidth="1" outlineLevel="1"/>
    <col min="10" max="10" width="7.28515625" style="2" bestFit="1" customWidth="1"/>
    <col min="11" max="11" width="33.57031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4" hidden="1" customWidth="1" outlineLevel="1"/>
    <col min="56" max="56" width="13.28515625" style="4" hidden="1" customWidth="1" outlineLevel="1"/>
    <col min="57" max="57" width="13" style="2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3.710937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9" t="s">
        <v>0</v>
      </c>
      <c r="BB1" s="60"/>
      <c r="BC1" s="60"/>
      <c r="BD1" s="60"/>
      <c r="BE1" s="60"/>
      <c r="BF1" s="60"/>
      <c r="BG1" s="60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61" t="s">
        <v>188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30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19"/>
      <c r="B3" s="19" t="s">
        <v>89</v>
      </c>
      <c r="C3" s="47"/>
      <c r="D3" s="52" t="s">
        <v>151</v>
      </c>
      <c r="E3" s="35" t="s">
        <v>115</v>
      </c>
      <c r="F3" s="35" t="s">
        <v>111</v>
      </c>
      <c r="G3" s="35" t="s">
        <v>116</v>
      </c>
      <c r="H3" s="62" t="s">
        <v>116</v>
      </c>
      <c r="I3" s="35" t="s">
        <v>105</v>
      </c>
      <c r="J3" s="35">
        <f>LEN(F3)</f>
        <v>12</v>
      </c>
      <c r="K3" s="35" t="str">
        <f>IF(LEN(F3)&lt;=$K$1,F3,"")</f>
        <v>Ввод_функции</v>
      </c>
      <c r="L3" s="19" t="s">
        <v>140</v>
      </c>
      <c r="M3" s="45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8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0"/>
      <c r="AL3" s="20"/>
      <c r="AM3" s="20"/>
      <c r="AN3" s="20"/>
      <c r="AO3" s="20"/>
      <c r="AP3" s="20"/>
      <c r="AQ3" s="20"/>
      <c r="AR3" s="20"/>
      <c r="AS3" s="20">
        <v>0</v>
      </c>
      <c r="AT3" s="20">
        <v>0</v>
      </c>
      <c r="AU3" s="20">
        <v>0</v>
      </c>
      <c r="AV3" s="20">
        <v>0</v>
      </c>
      <c r="AW3" s="20">
        <f>BIN2DEC(CONCATENATE(0,0,0,0,AS3,AT3,AU3,AV3))</f>
        <v>0</v>
      </c>
      <c r="AX3" s="20" t="s">
        <v>106</v>
      </c>
      <c r="AY3" s="20"/>
      <c r="AZ3" s="49"/>
      <c r="BA3" s="20"/>
      <c r="BB3" s="20"/>
      <c r="BC3" s="20"/>
      <c r="BD3" s="20"/>
      <c r="BE3" s="20"/>
      <c r="BF3" s="20"/>
      <c r="BG3" s="20"/>
      <c r="BH3" s="1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19"/>
      <c r="B4" s="19" t="s">
        <v>89</v>
      </c>
      <c r="C4" s="47"/>
      <c r="D4" s="52" t="s">
        <v>151</v>
      </c>
      <c r="E4" s="35" t="s">
        <v>141</v>
      </c>
      <c r="F4" s="35" t="s">
        <v>142</v>
      </c>
      <c r="G4" s="35" t="s">
        <v>157</v>
      </c>
      <c r="H4" s="63" t="s">
        <v>187</v>
      </c>
      <c r="I4" s="35"/>
      <c r="J4" s="35">
        <f t="shared" ref="J4" si="0">LEN(F4)</f>
        <v>3</v>
      </c>
      <c r="K4" s="35" t="str">
        <f t="shared" ref="K4" si="1">IF(LEN(F4)&lt;=$K$1,F4,"")</f>
        <v>Iср</v>
      </c>
      <c r="L4" s="19" t="s">
        <v>143</v>
      </c>
      <c r="M4" s="45" t="s">
        <v>120</v>
      </c>
      <c r="N4" s="47" t="s">
        <v>52</v>
      </c>
      <c r="O4" s="47" t="s">
        <v>52</v>
      </c>
      <c r="P4" s="47"/>
      <c r="Q4" s="49">
        <v>2</v>
      </c>
      <c r="R4" s="49" t="s">
        <v>144</v>
      </c>
      <c r="S4" s="47" t="s">
        <v>145</v>
      </c>
      <c r="T4" s="47" t="s">
        <v>146</v>
      </c>
      <c r="U4" s="47">
        <v>30</v>
      </c>
      <c r="V4" s="47" t="s">
        <v>147</v>
      </c>
      <c r="W4" s="47"/>
      <c r="X4" s="47"/>
      <c r="Y4" s="47">
        <v>1</v>
      </c>
      <c r="Z4" s="47">
        <v>0</v>
      </c>
      <c r="AA4" s="48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50" t="s">
        <v>135</v>
      </c>
      <c r="AK4" s="20" t="s">
        <v>148</v>
      </c>
      <c r="AL4" s="20" t="s">
        <v>149</v>
      </c>
      <c r="AM4" s="20" t="s">
        <v>150</v>
      </c>
      <c r="AN4" s="20" t="s">
        <v>120</v>
      </c>
      <c r="AO4" s="20"/>
      <c r="AP4" s="20" t="s">
        <v>158</v>
      </c>
      <c r="AQ4" s="9" t="str">
        <f t="shared" ref="AQ4" si="2" xml:space="preserve"> CONCATENATE(AK4, ".",AM4)</f>
        <v>PTOC1.StrVal.setMag.f</v>
      </c>
      <c r="AR4" s="44" t="s">
        <v>63</v>
      </c>
      <c r="AS4" s="20">
        <v>0</v>
      </c>
      <c r="AT4" s="20">
        <v>0</v>
      </c>
      <c r="AU4" s="20">
        <v>0</v>
      </c>
      <c r="AV4" s="20">
        <v>0</v>
      </c>
      <c r="AW4" s="20">
        <f t="shared" ref="AW4" si="3">BIN2DEC(CONCATENATE(0,0,0,0,AS4,AT4,AU4,AV4))</f>
        <v>0</v>
      </c>
      <c r="AX4" s="20"/>
      <c r="AY4" s="20"/>
      <c r="AZ4" s="49"/>
      <c r="BA4" s="20"/>
      <c r="BB4" s="20"/>
      <c r="BC4" s="20"/>
      <c r="BD4" s="20"/>
      <c r="BE4" s="20"/>
      <c r="BF4" s="20"/>
      <c r="BG4" s="20"/>
      <c r="BH4" s="1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30, step: 0.01, units: "о.е.", defaultValue: 1, eventRegistration: 0</v>
      </c>
    </row>
    <row r="5" spans="1:16380" s="51" customFormat="1" ht="15.75" x14ac:dyDescent="0.25">
      <c r="A5" s="19"/>
      <c r="B5" s="19" t="s">
        <v>89</v>
      </c>
      <c r="C5" s="47"/>
      <c r="D5" s="52" t="s">
        <v>151</v>
      </c>
      <c r="E5" s="35" t="s">
        <v>171</v>
      </c>
      <c r="F5" s="35" t="s">
        <v>172</v>
      </c>
      <c r="G5" s="35" t="s">
        <v>173</v>
      </c>
      <c r="H5" s="62" t="s">
        <v>173</v>
      </c>
      <c r="I5" s="35" t="s">
        <v>174</v>
      </c>
      <c r="J5" s="35">
        <f t="shared" ref="J5" si="5">LEN(F5)</f>
        <v>10</v>
      </c>
      <c r="K5" s="35" t="str">
        <f t="shared" ref="K5" si="6">IF(LEN(F5)&lt;=$K$1,F5,"")</f>
        <v>Выбор_пуск</v>
      </c>
      <c r="L5" s="19" t="s">
        <v>175</v>
      </c>
      <c r="M5" s="45" t="s">
        <v>176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3</v>
      </c>
      <c r="V5" s="47">
        <v>1</v>
      </c>
      <c r="W5" s="47"/>
      <c r="X5" s="47"/>
      <c r="Y5" s="47">
        <v>0</v>
      </c>
      <c r="Z5" s="47">
        <v>0</v>
      </c>
      <c r="AA5" s="48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50"/>
      <c r="AK5" s="20"/>
      <c r="AL5" s="20"/>
      <c r="AM5" s="20"/>
      <c r="AN5" s="20"/>
      <c r="AO5" s="20"/>
      <c r="AP5" s="20"/>
      <c r="AQ5" s="9"/>
      <c r="AR5" s="44"/>
      <c r="AS5" s="20">
        <v>0</v>
      </c>
      <c r="AT5" s="20">
        <v>0</v>
      </c>
      <c r="AU5" s="20">
        <v>0</v>
      </c>
      <c r="AV5" s="20">
        <v>0</v>
      </c>
      <c r="AW5" s="20">
        <f t="shared" ref="AW5" si="7">BIN2DEC(CONCATENATE(0,0,0,0,AS5,AT5,AU5,AV5))</f>
        <v>0</v>
      </c>
      <c r="AX5" s="20" t="s">
        <v>177</v>
      </c>
      <c r="AY5" s="20"/>
      <c r="AZ5" s="49"/>
      <c r="BA5" s="20"/>
      <c r="BB5" s="20"/>
      <c r="BC5" s="20"/>
      <c r="BD5" s="20"/>
      <c r="BE5" s="20"/>
      <c r="BF5" s="20"/>
      <c r="BG5" s="20"/>
      <c r="BH5" s="18" t="str">
        <f t="shared" ref="BH5" si="8">CONCATENATE("description: """,F5,"""", ", ", "note: """,E5,"""",", ","group: """, B5, """",", ","minValue: ", T5,", ","maxValue: ", U5,", ","step: ", V5,", ","units: """, S5, """",", ","defaultValue: ", Y5,", ","eventRegistration: ", Z5,)</f>
        <v>description: "Выбор_пуск", note: "Выбор пускового органа", group: "setting", minValue: 0, maxValue: 3,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4"/>
      <c r="BD6" s="4"/>
      <c r="BE6" s="2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4"/>
      <c r="BD7" s="4"/>
      <c r="BE7" s="2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4"/>
      <c r="BD8" s="4"/>
      <c r="BE8" s="2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4"/>
      <c r="BD9" s="4"/>
      <c r="BE9" s="2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4"/>
      <c r="BD10" s="4"/>
      <c r="BE10" s="2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4"/>
      <c r="BD11" s="4"/>
      <c r="BE11" s="2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4"/>
      <c r="BD12" s="4"/>
      <c r="BE12" s="2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4"/>
      <c r="BD13" s="4"/>
      <c r="BE13" s="2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4"/>
      <c r="BD14" s="4"/>
      <c r="BE14" s="2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4"/>
      <c r="BD15" s="4"/>
      <c r="BE15" s="2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4"/>
      <c r="BD16" s="4"/>
      <c r="BE16" s="2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4"/>
      <c r="BD17" s="4"/>
      <c r="BE17" s="2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4"/>
      <c r="BD18" s="4"/>
      <c r="BE18" s="2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4"/>
      <c r="BD19" s="4"/>
      <c r="BE19" s="2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4"/>
      <c r="BD20" s="4"/>
      <c r="BE20" s="2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4"/>
      <c r="BD21" s="4"/>
      <c r="BE21" s="2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4"/>
      <c r="BD22" s="4"/>
      <c r="BE22" s="2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4"/>
      <c r="BD23" s="4"/>
      <c r="BE23" s="2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4"/>
      <c r="BD24" s="4"/>
      <c r="BE24" s="2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4"/>
      <c r="BD25" s="4"/>
      <c r="BE25" s="2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4"/>
      <c r="BD26" s="4"/>
      <c r="BE26" s="2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4"/>
      <c r="BD27" s="4"/>
      <c r="BE27" s="2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4"/>
      <c r="BD28" s="4"/>
      <c r="BE28" s="2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4"/>
      <c r="BD29" s="4"/>
      <c r="BE29" s="2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4"/>
      <c r="BD30" s="4"/>
      <c r="BE30" s="2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4"/>
      <c r="BD31" s="4"/>
      <c r="BE31" s="2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4"/>
      <c r="BD32" s="4"/>
      <c r="BE32" s="2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4"/>
      <c r="BD33" s="4"/>
      <c r="BE33" s="2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4"/>
      <c r="BD34" s="4"/>
      <c r="BE34" s="2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4"/>
      <c r="BD35" s="4"/>
      <c r="BE35" s="2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4"/>
      <c r="BD36" s="4"/>
      <c r="BE36" s="2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4"/>
      <c r="BD37" s="4"/>
      <c r="BE37" s="2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4"/>
      <c r="BD38" s="4"/>
      <c r="BE38" s="2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4"/>
      <c r="BD39" s="4"/>
      <c r="BE39" s="2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4"/>
      <c r="BD40" s="4"/>
      <c r="BE40" s="2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4"/>
      <c r="BD41" s="4"/>
      <c r="BE41" s="2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4"/>
      <c r="BD42" s="4"/>
      <c r="BE42" s="2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4"/>
      <c r="BD43" s="4"/>
      <c r="BE43" s="2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4"/>
      <c r="BD44" s="4"/>
      <c r="BE44" s="2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4"/>
      <c r="BD45" s="4"/>
      <c r="BE45" s="2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4"/>
      <c r="BD46" s="4"/>
      <c r="BE46" s="2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4"/>
      <c r="BD47" s="4"/>
      <c r="BE47" s="2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4"/>
      <c r="BD48" s="4"/>
      <c r="BE48" s="2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4"/>
      <c r="BD49" s="4"/>
      <c r="BE49" s="2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4"/>
      <c r="BD50" s="4"/>
      <c r="BE50" s="2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4"/>
      <c r="BD51" s="4"/>
      <c r="BE51" s="2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4"/>
      <c r="BD52" s="4"/>
      <c r="BE52" s="2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4"/>
      <c r="BD53" s="4"/>
      <c r="BE53" s="2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4"/>
      <c r="BD54" s="4"/>
      <c r="BE54" s="2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4"/>
      <c r="BD55" s="4"/>
      <c r="BE55" s="2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4"/>
      <c r="BD56" s="4"/>
      <c r="BE56" s="2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4"/>
      <c r="BD57" s="4"/>
      <c r="BE57" s="2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4"/>
      <c r="BD58" s="4"/>
      <c r="BE58" s="2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4"/>
      <c r="BD59" s="4"/>
      <c r="BE59" s="2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4"/>
      <c r="BD60" s="4"/>
      <c r="BE60" s="2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4"/>
      <c r="BD61" s="4"/>
      <c r="BE61" s="2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4"/>
      <c r="BD62" s="4"/>
      <c r="BE62" s="2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4"/>
      <c r="BD63" s="4"/>
      <c r="BE63" s="2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4"/>
      <c r="BD64" s="4"/>
      <c r="BE64" s="2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4"/>
      <c r="BD65" s="4"/>
      <c r="BE65" s="2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4"/>
      <c r="BD66" s="4"/>
      <c r="BE66" s="2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4"/>
      <c r="BD67" s="4"/>
      <c r="BE67" s="2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4"/>
      <c r="BD68" s="4"/>
      <c r="BE68" s="2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4"/>
      <c r="BD69" s="4"/>
      <c r="BE69" s="2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4"/>
      <c r="BD70" s="4"/>
      <c r="BE70" s="2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4"/>
      <c r="BD71" s="4"/>
      <c r="BE71" s="2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4"/>
      <c r="BD72" s="4"/>
      <c r="BE72" s="2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4"/>
      <c r="BD73" s="4"/>
      <c r="BE73" s="2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4"/>
      <c r="BD74" s="4"/>
      <c r="BE74" s="2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4"/>
      <c r="BD75" s="4"/>
      <c r="BE75" s="2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4"/>
      <c r="BD76" s="4"/>
      <c r="BE76" s="2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4"/>
      <c r="BD77" s="4"/>
      <c r="BE77" s="2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4"/>
      <c r="BD78" s="4"/>
      <c r="BE78" s="2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4"/>
      <c r="BD79" s="4"/>
      <c r="BE79" s="2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4"/>
      <c r="BD80" s="4"/>
      <c r="BE80" s="2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4"/>
      <c r="BD81" s="4"/>
      <c r="BE81" s="2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4"/>
      <c r="BD82" s="4"/>
      <c r="BE82" s="2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4"/>
      <c r="BD83" s="4"/>
      <c r="BE83" s="2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4"/>
      <c r="BD84" s="4"/>
      <c r="BE84" s="2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4"/>
      <c r="BD85" s="4"/>
      <c r="BE85" s="2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4"/>
      <c r="BD86" s="4"/>
      <c r="BE86" s="2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4"/>
      <c r="BD87" s="4"/>
      <c r="BE87" s="2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4"/>
      <c r="BD88" s="4"/>
      <c r="BE88" s="2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4"/>
      <c r="BD89" s="4"/>
      <c r="BE89" s="2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4"/>
      <c r="BD90" s="4"/>
      <c r="BE90" s="2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4"/>
      <c r="BD91" s="4"/>
      <c r="BE91" s="2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4"/>
      <c r="BD92" s="4"/>
      <c r="BE92" s="2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4"/>
      <c r="BD93" s="4"/>
      <c r="BE93" s="2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4"/>
      <c r="BD94" s="4"/>
      <c r="BE94" s="2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4"/>
      <c r="BD95" s="4"/>
      <c r="BE95" s="2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4"/>
      <c r="BD96" s="4"/>
      <c r="BE96" s="2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4"/>
      <c r="BD97" s="4"/>
      <c r="BE97" s="2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4"/>
      <c r="BD98" s="4"/>
      <c r="BE98" s="2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4"/>
      <c r="BD99" s="4"/>
      <c r="BE99" s="2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4"/>
      <c r="BD100" s="4"/>
      <c r="BE100" s="2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4"/>
      <c r="BD101" s="4"/>
      <c r="BE101" s="2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4"/>
      <c r="BD102" s="4"/>
      <c r="BE102" s="2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4"/>
      <c r="BD103" s="4"/>
      <c r="BE103" s="2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4"/>
      <c r="BD104" s="4"/>
      <c r="BE104" s="2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4"/>
      <c r="BD105" s="4"/>
      <c r="BE105" s="2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4"/>
      <c r="BD106" s="4"/>
      <c r="BE106" s="2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4"/>
      <c r="BD107" s="4"/>
      <c r="BE107" s="2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4"/>
      <c r="BD108" s="4"/>
      <c r="BE108" s="2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4"/>
      <c r="BD109" s="4"/>
      <c r="BE109" s="2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4"/>
      <c r="BD110" s="4"/>
      <c r="BE110" s="2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4"/>
      <c r="BD111" s="4"/>
      <c r="BE111" s="2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4"/>
      <c r="BD112" s="4"/>
      <c r="BE112" s="2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4"/>
      <c r="BD113" s="4"/>
      <c r="BE113" s="2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4"/>
      <c r="BD114" s="4"/>
      <c r="BE114" s="2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4"/>
      <c r="BD115" s="4"/>
      <c r="BE115" s="2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4"/>
      <c r="BD116" s="4"/>
      <c r="BE116" s="2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4"/>
      <c r="BD117" s="4"/>
      <c r="BE117" s="2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4"/>
      <c r="BD118" s="4"/>
      <c r="BE118" s="2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4"/>
      <c r="BD119" s="4"/>
      <c r="BE119" s="2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4"/>
      <c r="BD120" s="4"/>
      <c r="BE120" s="2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4"/>
      <c r="BD121" s="4"/>
      <c r="BE121" s="2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4"/>
      <c r="BD122" s="4"/>
      <c r="BE122" s="2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4"/>
      <c r="BD123" s="4"/>
      <c r="BE123" s="2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4"/>
      <c r="BD124" s="4"/>
      <c r="BE124" s="2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4"/>
      <c r="BD125" s="4"/>
      <c r="BE125" s="2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4"/>
      <c r="BD126" s="4"/>
      <c r="BE126" s="2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4"/>
      <c r="BD127" s="4"/>
      <c r="BE127" s="2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4"/>
      <c r="BD128" s="4"/>
      <c r="BE128" s="2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4"/>
      <c r="BD129" s="4"/>
      <c r="BE129" s="2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4"/>
      <c r="BD130" s="4"/>
      <c r="BE130" s="2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4"/>
      <c r="BD131" s="4"/>
      <c r="BE131" s="2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4"/>
      <c r="BD132" s="4"/>
      <c r="BE132" s="2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4"/>
      <c r="BD133" s="4"/>
      <c r="BE133" s="2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4"/>
      <c r="BD134" s="4"/>
      <c r="BE134" s="2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4"/>
      <c r="BD135" s="4"/>
      <c r="BE135" s="2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4"/>
      <c r="BD136" s="4"/>
      <c r="BE136" s="2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4"/>
      <c r="BD137" s="4"/>
      <c r="BE137" s="2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4"/>
      <c r="BD138" s="4"/>
      <c r="BE138" s="2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4"/>
      <c r="BD139" s="4"/>
      <c r="BE139" s="2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4"/>
      <c r="BD140" s="4"/>
      <c r="BE140" s="2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4"/>
      <c r="BD141" s="4"/>
      <c r="BE141" s="2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4"/>
      <c r="BD142" s="4"/>
      <c r="BE142" s="2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4"/>
      <c r="BD143" s="4"/>
      <c r="BE143" s="2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4"/>
      <c r="BD144" s="4"/>
      <c r="BE144" s="2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4"/>
      <c r="BD145" s="4"/>
      <c r="BE145" s="2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4"/>
      <c r="BD146" s="4"/>
      <c r="BE146" s="2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4"/>
      <c r="BD147" s="4"/>
      <c r="BE147" s="2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4"/>
      <c r="BD148" s="4"/>
      <c r="BE148" s="2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4"/>
      <c r="BD149" s="4"/>
      <c r="BE149" s="2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4"/>
      <c r="BD150" s="4"/>
      <c r="BE150" s="2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4"/>
      <c r="BD151" s="4"/>
      <c r="BE151" s="2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4"/>
      <c r="BD152" s="4"/>
      <c r="BE152" s="2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4"/>
      <c r="BD153" s="4"/>
      <c r="BE153" s="2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4"/>
      <c r="BD154" s="4"/>
      <c r="BE154" s="2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4"/>
      <c r="BD155" s="4"/>
      <c r="BE155" s="2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4"/>
      <c r="BD156" s="4"/>
      <c r="BE156" s="2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4"/>
      <c r="BD157" s="4"/>
      <c r="BE157" s="2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4"/>
      <c r="BD158" s="4"/>
      <c r="BE158" s="2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4"/>
      <c r="BD159" s="4"/>
      <c r="BE159" s="2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4"/>
      <c r="BD160" s="4"/>
      <c r="BE160" s="2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4"/>
      <c r="BD161" s="4"/>
      <c r="BE161" s="2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4"/>
      <c r="BD162" s="4"/>
      <c r="BE162" s="2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4"/>
      <c r="BD163" s="4"/>
      <c r="BE163" s="2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4"/>
      <c r="BD164" s="4"/>
      <c r="BE164" s="2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4"/>
      <c r="BD165" s="4"/>
      <c r="BE165" s="2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4"/>
      <c r="BD166" s="4"/>
      <c r="BE166" s="2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4"/>
      <c r="BD167" s="4"/>
      <c r="BE167" s="2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4"/>
      <c r="BD168" s="4"/>
      <c r="BE168" s="2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4"/>
      <c r="BD169" s="4"/>
      <c r="BE169" s="2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4"/>
      <c r="BD170" s="4"/>
      <c r="BE170" s="2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4"/>
      <c r="BD171" s="4"/>
      <c r="BE171" s="2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4"/>
      <c r="BD172" s="4"/>
      <c r="BE172" s="2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4"/>
      <c r="BD173" s="4"/>
      <c r="BE173" s="2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4"/>
      <c r="BD174" s="4"/>
      <c r="BE174" s="2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4"/>
      <c r="BD175" s="4"/>
      <c r="BE175" s="2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4"/>
      <c r="BD176" s="4"/>
      <c r="BE176" s="2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4"/>
      <c r="BD177" s="4"/>
      <c r="BE177" s="2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4"/>
      <c r="BD178" s="4"/>
      <c r="BE178" s="2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4"/>
      <c r="BD179" s="4"/>
      <c r="BE179" s="2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4"/>
      <c r="BD180" s="4"/>
      <c r="BE180" s="2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4"/>
      <c r="BD181" s="4"/>
      <c r="BE181" s="2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4"/>
      <c r="BD182" s="4"/>
      <c r="BE182" s="2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4"/>
      <c r="BD183" s="4"/>
      <c r="BE183" s="2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4"/>
      <c r="BD184" s="4"/>
      <c r="BE184" s="2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4"/>
      <c r="BD185" s="4"/>
      <c r="BE185" s="2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4"/>
      <c r="BD186" s="4"/>
      <c r="BE186" s="2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4"/>
      <c r="BD187" s="4"/>
      <c r="BE187" s="2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4"/>
      <c r="BD188" s="4"/>
      <c r="BE188" s="2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4"/>
      <c r="BD189" s="4"/>
      <c r="BE189" s="24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.75" x14ac:dyDescent="0.25"/>
  <cols>
    <col min="1" max="1" width="22.42578125" style="53" customWidth="1"/>
    <col min="2" max="2" width="16.28515625" style="53" customWidth="1"/>
    <col min="3" max="16384" width="9.140625" style="53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4" t="s">
        <v>151</v>
      </c>
    </row>
    <row r="4" spans="1:2" x14ac:dyDescent="0.25">
      <c r="A4" s="26" t="s">
        <v>93</v>
      </c>
      <c r="B4" s="28">
        <v>140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186</v>
      </c>
    </row>
    <row r="7" spans="1:2" x14ac:dyDescent="0.25">
      <c r="A7" s="29" t="s">
        <v>159</v>
      </c>
      <c r="B7" s="27">
        <v>1</v>
      </c>
    </row>
    <row r="8" spans="1:2" x14ac:dyDescent="0.25">
      <c r="A8" s="58" t="s">
        <v>183</v>
      </c>
      <c r="B8" s="58" t="s">
        <v>184</v>
      </c>
    </row>
    <row r="9" spans="1:2" x14ac:dyDescent="0.25">
      <c r="A9" s="58" t="s">
        <v>185</v>
      </c>
      <c r="B9" s="58"/>
    </row>
    <row r="10" spans="1:2" x14ac:dyDescent="0.25">
      <c r="A10" s="52" t="s">
        <v>151</v>
      </c>
      <c r="B10" s="58" t="s">
        <v>184</v>
      </c>
    </row>
    <row r="11" spans="1:2" x14ac:dyDescent="0.25">
      <c r="A11" s="58" t="s">
        <v>185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2025-07-22T08:31:53Z</dcterms:modified>
</cp:coreProperties>
</file>