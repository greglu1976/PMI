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BH6" i="6" l="1"/>
  <c r="AW6" i="6"/>
  <c r="K6" i="6"/>
  <c r="J6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10" i="4"/>
  <c r="AV10" i="4"/>
  <c r="J10" i="4"/>
  <c r="I10" i="4"/>
  <c r="BG5" i="4"/>
  <c r="AV5" i="4"/>
  <c r="J5" i="4"/>
  <c r="I5" i="4"/>
  <c r="J11" i="4" l="1"/>
  <c r="J12" i="4"/>
  <c r="J13" i="4"/>
  <c r="AW4" i="6" l="1"/>
  <c r="K4" i="6"/>
  <c r="BG5" i="5" l="1"/>
  <c r="AP5" i="5"/>
  <c r="J5" i="5"/>
  <c r="I5" i="5"/>
  <c r="BH5" i="6" l="1"/>
  <c r="AW5" i="6"/>
  <c r="K5" i="6"/>
  <c r="J5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9" i="4" l="1"/>
  <c r="AV9" i="4"/>
  <c r="J9" i="4"/>
  <c r="I9" i="4"/>
  <c r="BG8" i="4"/>
  <c r="AV8" i="4"/>
  <c r="J8" i="4"/>
  <c r="I8" i="4"/>
  <c r="BG6" i="4" l="1"/>
  <c r="AV6" i="4"/>
  <c r="J6" i="4"/>
  <c r="I6" i="4"/>
  <c r="AV13" i="5" l="1"/>
  <c r="AV14" i="5"/>
  <c r="AV15" i="5"/>
  <c r="AV16" i="5"/>
  <c r="BG7" i="4" l="1"/>
  <c r="AV7" i="4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<sst xmlns="http://schemas.openxmlformats.org/spreadsheetml/2006/main" count="746" uniqueCount="208">
  <si>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</si>
  <si>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</si>
  <si>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</si>
  <si>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</si>
  <si>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</si>
  <si>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</si>
  <si>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</si>
  <si>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</si>
  <si>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</si>
  <si>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</si>
  <si>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</si>
  <si>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</si>
  <si>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</si>
  <si>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</si>
  <si>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</si>
  <si>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</si>
  <si>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</si>
  <si>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</si>
  <si>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</si>
  <si>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</si>
  <si>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</si>
  <si>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</si>
  <si>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</si>
  <si>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</si>
  <si>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</si>
  <si>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</si>
  <si>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</si>
  <si>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</si>
  <si>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</si>
  <si>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</si>
  <si>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</si>
  <si>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</si>
  <si>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</si>
  <si>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</si>
  <si>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</si>
  <si>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</si>
  <si>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</si>
  <si>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</si>
  <si>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</si>
  <si>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</si>
  <si>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</si>
  <si>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</si>
  <si>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</si>
  <si>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</si>
  <si>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</si>
  <si>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</si>
  <si>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</si>
  <si>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</si>
  <si>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</si>
  <si>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</si>
  <si>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</si>
  <si>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</si>
  <si>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</si>
  <si>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</si>
  <si>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</si>
  <si>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</si>
  <si>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</si>
  <si>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</si>
  <si>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</si>
  <si>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</si>
  <si>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</si>
  <si>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</si>
  <si>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</si>
  <si>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</si>
  <si>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</si>
  <si>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</si>
  <si>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</si>
  <si>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</si>
  <si>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</si>
  <si>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</si>
  <si>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</si>
  <si>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</si>
  <si>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</si>
  <si>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</si>
  <si>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</si>
  <si>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</si>
  <si>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</si>
  <si>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</si>
  <si>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</si>
  <si>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</si>
  <si>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</si>
  <si>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</si>
  <si>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</si>
  <si>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</si>
  <si>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</si>
  <si>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</si>
  <si>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</si>
  <si>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</si>
  <si>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</si>
  <si>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</si>
  <si>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</si>
  <si>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</si>
  <si>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</si>
  <si>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</si>
  <si>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</si>
  <si>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</si>
  <si>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</si>
  <si>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</si>
  <si>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</si>
  <si>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</si>
  <si>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</si>
  <si>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</si>
  <si>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</si>
  <si>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</si>
  <si>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</si>
  <si>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</si>
  <si>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</si>
  <si>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</si>
  <si>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</si>
  <si>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</si>
  <si>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</si>
  <si>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</si>
  <si>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</si>
  <si>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</si>
  <si>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</si>
  <si>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</si>
  <si>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</si>
  <si>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</si>
  <si>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</si>
  <si>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</si>
  <si>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</si>
  <si>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</si>
  <si>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</si>
  <si>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</si>
  <si>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</si>
  <si>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</si>
  <si>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</si>
  <si>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</si>
  <si>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</si>
  <si>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</si>
  <si>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</si>
  <si>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</si>
  <si>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</si>
  <si>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</si>
  <si>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</si>
  <si>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</si>
  <si>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</si>
  <si>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</si>
  <si>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</si>
  <si>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</si>
  <si>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</si>
  <si>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</si>
  <si>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</si>
  <si>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</si>
  <si>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</si>
  <si>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</si>
  <si>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</si>
  <si>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</si>
  <si>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</si>
  <si>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</si>
  <si>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</si>
  <si>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</si>
  <si>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</si>
  <si>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</si>
  <si>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</si>
  <si>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</si>
  <si>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</si>
  <si>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</si>
  <si>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</si>
  <si>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</si>
  <si>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</si>
  <si>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</si>
  <si>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</si>
  <si>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</si>
  <si>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</si>
  <si>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</si>
  <si>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</si>
  <si>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</si>
  <si>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</si>
  <si>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</si>
  <si>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</si>
  <si>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</si>
  <si>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</si>
  <si>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</si>
  <si>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</si>
  <si>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</si>
  <si>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</si>
  <si>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LVTRESCBOFF1_operOutFunction</t>
  </si>
  <si>
    <t>ЗАВР</t>
  </si>
  <si>
    <t>Оперативный вывод ЛО НН1 / ЗАВР</t>
  </si>
  <si>
    <t>ОВ ЛО НН1 / 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</si>
  <si>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</si>
  <si>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</si>
  <si>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</si>
  <si>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</si>
  <si>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</si>
  <si>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</si>
  <si>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</si>
  <si>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</si>
  <si>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</si>
  <si>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</si>
  <si>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</si>
  <si>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</si>
  <si>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</si>
  <si>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</si>
  <si>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LVTRESCBOFF1</t>
  </si>
  <si>
    <t>control</t>
  </si>
  <si>
    <t>Logger</t>
  </si>
  <si>
    <t>Disturber</t>
  </si>
  <si>
    <t>StartDisturber</t>
  </si>
  <si>
    <t>status</t>
  </si>
  <si>
    <t>DescriptionFB</t>
  </si>
  <si>
    <t>Логика отключения выключателя стороны НН1</t>
  </si>
  <si>
    <t>DescriptionFuncList</t>
  </si>
  <si>
    <t>Логика отключения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</si>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</sst>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N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2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3" t="s">
        <v>197</v>
      </c>
      <c r="AW2" s="103" t="s">
        <v>198</v>
      </c>
      <c r="AX2" s="103" t="s">
        <v>199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3" customFormat="1" ht="15.75" x14ac:dyDescent="0.25">
      <c r="A3" s="25"/>
      <c r="B3" s="25" t="s">
        <v>50</v>
      </c>
      <c r="C3" s="26"/>
      <c r="D3" s="27"/>
      <c r="E3" s="28" t="s">
        <v>121</v>
      </c>
      <c r="F3" s="83" t="s">
        <v>122</v>
      </c>
      <c r="G3" s="8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172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92"/>
      <c r="AJ3" s="32"/>
      <c r="AK3" s="32"/>
      <c r="AL3" s="32"/>
      <c r="AM3" s="32"/>
      <c r="AN3" s="32"/>
      <c r="AO3" s="32"/>
      <c r="AP3" s="32"/>
      <c r="AQ3" s="32"/>
      <c r="AR3" s="85">
        <v>0</v>
      </c>
      <c r="AS3" s="85">
        <v>0</v>
      </c>
      <c r="AT3" s="85">
        <v>0</v>
      </c>
      <c r="AU3" s="85">
        <v>0</v>
      </c>
      <c r="AV3" s="85">
        <f t="shared" ref="AV3:AV4" si="2">BIN2DEC(CONCATENATE(0,0,0,0,AR3,AS3,AT3,AU3))</f>
        <v>0</v>
      </c>
      <c r="AW3" s="85">
        <v>0</v>
      </c>
      <c r="AX3" s="85">
        <f t="shared" ref="AX3:AX13" si="3">BIN2DEC(CONCATENATE(0,0,0,0,AT3,AU3,AV3,AW3))</f>
        <v>0</v>
      </c>
      <c r="AY3" s="85"/>
      <c r="AZ3" s="30"/>
      <c r="BA3" s="85"/>
      <c r="BB3" s="85"/>
      <c r="BC3" s="33"/>
      <c r="BD3" s="85"/>
      <c r="BE3" s="34"/>
      <c r="BF3" s="85"/>
      <c r="BG3" s="35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93" customFormat="1" ht="15.75" x14ac:dyDescent="0.25">
      <c r="A4" s="25"/>
      <c r="B4" s="25" t="s">
        <v>50</v>
      </c>
      <c r="C4" s="26"/>
      <c r="D4" s="27"/>
      <c r="E4" s="28" t="s">
        <v>123</v>
      </c>
      <c r="F4" s="83" t="s">
        <v>124</v>
      </c>
      <c r="G4" s="83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173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92"/>
      <c r="AJ4" s="32"/>
      <c r="AK4" s="32"/>
      <c r="AL4" s="32"/>
      <c r="AM4" s="32"/>
      <c r="AN4" s="32"/>
      <c r="AO4" s="32"/>
      <c r="AP4" s="32"/>
      <c r="AQ4" s="32"/>
      <c r="AR4" s="85">
        <v>0</v>
      </c>
      <c r="AS4" s="85">
        <v>0</v>
      </c>
      <c r="AT4" s="85">
        <v>0</v>
      </c>
      <c r="AU4" s="85">
        <v>0</v>
      </c>
      <c r="AV4" s="85">
        <f t="shared" si="2"/>
        <v>0</v>
      </c>
      <c r="AW4" s="85">
        <v>0</v>
      </c>
      <c r="AX4" s="85">
        <f t="shared" si="3"/>
        <v>0</v>
      </c>
      <c r="AY4" s="85"/>
      <c r="AZ4" s="30"/>
      <c r="BA4" s="85"/>
      <c r="BB4" s="85"/>
      <c r="BC4" s="33"/>
      <c r="BD4" s="85"/>
      <c r="BE4" s="34"/>
      <c r="BF4" s="85"/>
      <c r="BG4" s="35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93" customFormat="1" ht="15.75" x14ac:dyDescent="0.25">
      <c r="A5" s="25"/>
      <c r="B5" s="25" t="s">
        <v>50</v>
      </c>
      <c r="C5" s="26"/>
      <c r="D5" s="27"/>
      <c r="E5" s="28" t="s">
        <v>174</v>
      </c>
      <c r="F5" s="83" t="s">
        <v>175</v>
      </c>
      <c r="G5" s="83" t="s">
        <v>175</v>
      </c>
      <c r="H5" s="28"/>
      <c r="I5" s="28">
        <f t="shared" ref="I5" si="5">LEN(F5)</f>
        <v>12</v>
      </c>
      <c r="J5" s="28" t="str">
        <f t="shared" ref="J5" si="6">IF(LEN(F5)&lt;=$J$1,F5,"")</f>
        <v>ЗАВР (внутр)</v>
      </c>
      <c r="K5" s="25" t="s">
        <v>176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92"/>
      <c r="AJ5" s="32"/>
      <c r="AK5" s="32"/>
      <c r="AL5" s="32"/>
      <c r="AM5" s="32"/>
      <c r="AN5" s="32"/>
      <c r="AO5" s="32"/>
      <c r="AP5" s="32"/>
      <c r="AQ5" s="32"/>
      <c r="AR5" s="85">
        <v>0</v>
      </c>
      <c r="AS5" s="85">
        <v>0</v>
      </c>
      <c r="AT5" s="85">
        <v>0</v>
      </c>
      <c r="AU5" s="85">
        <v>0</v>
      </c>
      <c r="AV5" s="85">
        <f t="shared" ref="AV5" si="7">BIN2DEC(CONCATENATE(0,0,0,0,AR5,AS5,AT5,AU5))</f>
        <v>0</v>
      </c>
      <c r="AW5" s="85">
        <v>0</v>
      </c>
      <c r="AX5" s="85">
        <f t="shared" si="3"/>
        <v>0</v>
      </c>
      <c r="AY5" s="85"/>
      <c r="AZ5" s="30"/>
      <c r="BA5" s="85"/>
      <c r="BB5" s="85"/>
      <c r="BC5" s="33"/>
      <c r="BD5" s="85"/>
      <c r="BE5" s="34"/>
      <c r="BF5" s="85"/>
      <c r="BG5" s="3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6"/>
    </row>
    <row r="6" spans="1:16379" s="93" customFormat="1" ht="15.75" x14ac:dyDescent="0.25">
      <c r="A6" s="25"/>
      <c r="B6" s="102" t="s">
        <v>196</v>
      </c>
      <c r="C6" s="26"/>
      <c r="D6" s="27"/>
      <c r="E6" s="28" t="s">
        <v>107</v>
      </c>
      <c r="F6" s="83" t="s">
        <v>107</v>
      </c>
      <c r="G6" s="83" t="s">
        <v>107</v>
      </c>
      <c r="H6" s="28"/>
      <c r="I6" s="28">
        <f t="shared" ref="I6:I13" si="9">LEN(F6)</f>
        <v>15</v>
      </c>
      <c r="J6" s="28" t="str">
        <f t="shared" ref="J6:J13" si="10">IF(LEN(F6)&lt;=$J$1,F6,"")</f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92"/>
      <c r="AJ6" s="32"/>
      <c r="AK6" s="32"/>
      <c r="AL6" s="32"/>
      <c r="AM6" s="32"/>
      <c r="AN6" s="32"/>
      <c r="AO6" s="32"/>
      <c r="AP6" s="32"/>
      <c r="AQ6" s="32"/>
      <c r="AR6" s="85">
        <v>0</v>
      </c>
      <c r="AS6" s="85">
        <v>0</v>
      </c>
      <c r="AT6" s="85">
        <v>0</v>
      </c>
      <c r="AU6" s="85">
        <v>0</v>
      </c>
      <c r="AV6" s="85">
        <f t="shared" ref="AV6:AV9" si="11">BIN2DEC(CONCATENATE(0,0,0,0,AR6,AS6,AT6,AU6))</f>
        <v>0</v>
      </c>
      <c r="AW6" s="85">
        <v>0</v>
      </c>
      <c r="AX6" s="85">
        <f t="shared" si="3"/>
        <v>0</v>
      </c>
      <c r="AY6" s="85"/>
      <c r="AZ6" s="30"/>
      <c r="BA6" s="85"/>
      <c r="BB6" s="85"/>
      <c r="BC6" s="33"/>
      <c r="BD6" s="85"/>
      <c r="BE6" s="34"/>
      <c r="BF6" s="85"/>
      <c r="BG6" s="35" t="str">
        <f t="shared" ref="BG6:BG9" si="12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6"/>
    </row>
    <row r="7" spans="1:16379" s="93" customFormat="1" ht="15.75" x14ac:dyDescent="0.25">
      <c r="A7" s="25"/>
      <c r="B7" s="102" t="s">
        <v>196</v>
      </c>
      <c r="C7" s="26"/>
      <c r="D7" s="94" t="s">
        <v>164</v>
      </c>
      <c r="E7" s="28" t="s">
        <v>165</v>
      </c>
      <c r="F7" s="83" t="s">
        <v>170</v>
      </c>
      <c r="G7" s="83" t="s">
        <v>170</v>
      </c>
      <c r="H7" s="28"/>
      <c r="I7" s="28">
        <f t="shared" si="9"/>
        <v>9</v>
      </c>
      <c r="J7" s="28" t="str">
        <f t="shared" si="10"/>
        <v>ОВ ЛО НН1</v>
      </c>
      <c r="K7" s="25" t="s">
        <v>177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92"/>
      <c r="AJ7" s="32"/>
      <c r="AK7" s="32"/>
      <c r="AL7" s="32"/>
      <c r="AM7" s="32"/>
      <c r="AN7" s="32"/>
      <c r="AO7" s="32"/>
      <c r="AP7" s="32"/>
      <c r="AQ7" s="32"/>
      <c r="AR7" s="85">
        <v>0</v>
      </c>
      <c r="AS7" s="85">
        <v>0</v>
      </c>
      <c r="AT7" s="85">
        <v>0</v>
      </c>
      <c r="AU7" s="85">
        <v>0</v>
      </c>
      <c r="AV7" s="85">
        <f t="shared" si="11"/>
        <v>0</v>
      </c>
      <c r="AW7" s="85">
        <v>0</v>
      </c>
      <c r="AX7" s="85">
        <f t="shared" si="3"/>
        <v>0</v>
      </c>
      <c r="AY7" s="85"/>
      <c r="AZ7" s="30"/>
      <c r="BA7" s="85"/>
      <c r="BB7" s="85"/>
      <c r="BC7" s="33"/>
      <c r="BD7" s="85"/>
      <c r="BE7" s="34"/>
      <c r="BF7" s="85"/>
      <c r="BG7" s="35" t="str">
        <f t="shared" si="12"/>
        <v>description: "ОВ ЛО НН1", note: "Оперативный вывод функции ЛО НН1", group: "control", minValue: null, maxValue: null, step: null, units: "null", defaultValue: null, eventRegistration: 0</v>
      </c>
      <c r="BH7" s="36"/>
    </row>
    <row r="8" spans="1:16379" s="96" customFormat="1" ht="15.75" x14ac:dyDescent="0.25">
      <c r="A8" s="38"/>
      <c r="B8" s="102" t="s">
        <v>196</v>
      </c>
      <c r="C8" s="39"/>
      <c r="D8" s="95" t="s">
        <v>161</v>
      </c>
      <c r="E8" s="40" t="s">
        <v>166</v>
      </c>
      <c r="F8" s="41" t="s">
        <v>168</v>
      </c>
      <c r="G8" s="41" t="s">
        <v>168</v>
      </c>
      <c r="H8" s="40"/>
      <c r="I8" s="40">
        <f t="shared" ref="I8" si="13">LEN(F8)</f>
        <v>14</v>
      </c>
      <c r="J8" s="40" t="str">
        <f t="shared" si="10"/>
        <v>ОВ ЛО НН1 / ЛО</v>
      </c>
      <c r="K8" s="38" t="s">
        <v>125</v>
      </c>
      <c r="L8" s="42" t="s">
        <v>54</v>
      </c>
      <c r="M8" s="39" t="s">
        <v>51</v>
      </c>
      <c r="N8" s="39" t="s">
        <v>52</v>
      </c>
      <c r="O8" s="39"/>
      <c r="P8" s="43"/>
      <c r="Q8" s="43"/>
      <c r="R8" s="39" t="s">
        <v>53</v>
      </c>
      <c r="S8" s="39" t="s">
        <v>53</v>
      </c>
      <c r="T8" s="39" t="s">
        <v>53</v>
      </c>
      <c r="U8" s="39" t="s">
        <v>53</v>
      </c>
      <c r="V8" s="39"/>
      <c r="W8" s="39"/>
      <c r="X8" s="39" t="s">
        <v>53</v>
      </c>
      <c r="Y8" s="39">
        <v>0</v>
      </c>
      <c r="Z8" s="44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6"/>
      <c r="AJ8" s="47"/>
      <c r="AK8" s="47"/>
      <c r="AL8" s="47"/>
      <c r="AM8" s="47"/>
      <c r="AN8" s="47"/>
      <c r="AO8" s="47"/>
      <c r="AP8" s="47"/>
      <c r="AQ8" s="47"/>
      <c r="AR8" s="45">
        <v>0</v>
      </c>
      <c r="AS8" s="45">
        <v>0</v>
      </c>
      <c r="AT8" s="45">
        <v>0</v>
      </c>
      <c r="AU8" s="45">
        <v>0</v>
      </c>
      <c r="AV8" s="45">
        <f t="shared" si="11"/>
        <v>0</v>
      </c>
      <c r="AW8" s="45">
        <v>0</v>
      </c>
      <c r="AX8" s="45">
        <f t="shared" si="3"/>
        <v>0</v>
      </c>
      <c r="AY8" s="45"/>
      <c r="AZ8" s="43"/>
      <c r="BA8" s="45"/>
      <c r="BB8" s="45"/>
      <c r="BC8" s="48"/>
      <c r="BD8" s="45"/>
      <c r="BE8" s="49"/>
      <c r="BF8" s="45"/>
      <c r="BG8" s="50" t="str">
        <f t="shared" si="12"/>
        <v>description: "ОВ ЛО НН1 / ЛО", note: "Оперативный вывод ЛО НН1 / ЛО", group: "control", minValue: null, maxValue: null, step: null, units: "null", defaultValue: null, eventRegistration: 0</v>
      </c>
      <c r="BH8" s="51"/>
    </row>
    <row r="9" spans="1:16379" s="96" customFormat="1" ht="15.75" x14ac:dyDescent="0.25">
      <c r="A9" s="38"/>
      <c r="B9" s="102" t="s">
        <v>196</v>
      </c>
      <c r="C9" s="39"/>
      <c r="D9" s="95" t="s">
        <v>158</v>
      </c>
      <c r="E9" s="40" t="s">
        <v>167</v>
      </c>
      <c r="F9" s="41" t="s">
        <v>169</v>
      </c>
      <c r="G9" s="41" t="s">
        <v>169</v>
      </c>
      <c r="H9" s="40"/>
      <c r="I9" s="40">
        <f t="shared" ref="I9" si="14">LEN(F9)</f>
        <v>16</v>
      </c>
      <c r="J9" s="40" t="str">
        <f t="shared" si="10"/>
        <v>ОВ ЛО НН1 / ЗАПВ</v>
      </c>
      <c r="K9" s="38" t="s">
        <v>126</v>
      </c>
      <c r="L9" s="42" t="s">
        <v>54</v>
      </c>
      <c r="M9" s="39" t="s">
        <v>51</v>
      </c>
      <c r="N9" s="39" t="s">
        <v>52</v>
      </c>
      <c r="O9" s="39"/>
      <c r="P9" s="43"/>
      <c r="Q9" s="43"/>
      <c r="R9" s="39" t="s">
        <v>53</v>
      </c>
      <c r="S9" s="39" t="s">
        <v>53</v>
      </c>
      <c r="T9" s="39" t="s">
        <v>53</v>
      </c>
      <c r="U9" s="39" t="s">
        <v>53</v>
      </c>
      <c r="V9" s="39"/>
      <c r="W9" s="39"/>
      <c r="X9" s="39" t="s">
        <v>53</v>
      </c>
      <c r="Y9" s="39">
        <v>0</v>
      </c>
      <c r="Z9" s="44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6"/>
      <c r="AJ9" s="47"/>
      <c r="AK9" s="47"/>
      <c r="AL9" s="47"/>
      <c r="AM9" s="47"/>
      <c r="AN9" s="47"/>
      <c r="AO9" s="47"/>
      <c r="AP9" s="47"/>
      <c r="AQ9" s="47"/>
      <c r="AR9" s="45">
        <v>0</v>
      </c>
      <c r="AS9" s="45">
        <v>0</v>
      </c>
      <c r="AT9" s="45">
        <v>0</v>
      </c>
      <c r="AU9" s="45">
        <v>0</v>
      </c>
      <c r="AV9" s="45">
        <f t="shared" si="11"/>
        <v>0</v>
      </c>
      <c r="AW9" s="45">
        <v>0</v>
      </c>
      <c r="AX9" s="45">
        <f t="shared" si="3"/>
        <v>0</v>
      </c>
      <c r="AY9" s="45"/>
      <c r="AZ9" s="43"/>
      <c r="BA9" s="45"/>
      <c r="BB9" s="45"/>
      <c r="BC9" s="48"/>
      <c r="BD9" s="45"/>
      <c r="BE9" s="49"/>
      <c r="BF9" s="45"/>
      <c r="BG9" s="50" t="str">
        <f t="shared" si="12"/>
        <v>description: "ОВ ЛО НН1 / ЗАПВ", note: "Оперативный вывод ЛО НН1 / ЗАПВ", group: "control", minValue: null, maxValue: null, step: null, units: "null", defaultValue: null, eventRegistration: 0</v>
      </c>
      <c r="BH9" s="51"/>
    </row>
    <row r="10" spans="1:16379" s="96" customFormat="1" ht="15.75" x14ac:dyDescent="0.25">
      <c r="A10" s="38"/>
      <c r="B10" s="102" t="s">
        <v>196</v>
      </c>
      <c r="C10" s="39"/>
      <c r="D10" s="95" t="s">
        <v>178</v>
      </c>
      <c r="E10" s="40" t="s">
        <v>179</v>
      </c>
      <c r="F10" s="41" t="s">
        <v>180</v>
      </c>
      <c r="G10" s="41" t="s">
        <v>180</v>
      </c>
      <c r="H10" s="40"/>
      <c r="I10" s="40">
        <f t="shared" ref="I10" si="15">LEN(F10)</f>
        <v>16</v>
      </c>
      <c r="J10" s="40" t="str">
        <f t="shared" ref="J10" si="16">IF(LEN(F10)&lt;=$J$1,F10,"")</f>
        <v>ОВ ЛО НН1 / ЗАВР</v>
      </c>
      <c r="K10" s="38" t="s">
        <v>181</v>
      </c>
      <c r="L10" s="42" t="s">
        <v>54</v>
      </c>
      <c r="M10" s="39" t="s">
        <v>51</v>
      </c>
      <c r="N10" s="39" t="s">
        <v>52</v>
      </c>
      <c r="O10" s="39"/>
      <c r="P10" s="43"/>
      <c r="Q10" s="43"/>
      <c r="R10" s="39" t="s">
        <v>53</v>
      </c>
      <c r="S10" s="39" t="s">
        <v>53</v>
      </c>
      <c r="T10" s="39" t="s">
        <v>53</v>
      </c>
      <c r="U10" s="39" t="s">
        <v>53</v>
      </c>
      <c r="V10" s="39"/>
      <c r="W10" s="39"/>
      <c r="X10" s="39" t="s">
        <v>53</v>
      </c>
      <c r="Y10" s="39">
        <v>0</v>
      </c>
      <c r="Z10" s="44"/>
      <c r="AA10" s="45">
        <v>0</v>
      </c>
      <c r="AB10" s="45"/>
      <c r="AC10" s="45"/>
      <c r="AD10" s="45"/>
      <c r="AE10" s="45"/>
      <c r="AF10" s="45">
        <v>0</v>
      </c>
      <c r="AG10" s="45">
        <v>0</v>
      </c>
      <c r="AH10" s="45">
        <v>0</v>
      </c>
      <c r="AI10" s="46"/>
      <c r="AJ10" s="47"/>
      <c r="AK10" s="47"/>
      <c r="AL10" s="47"/>
      <c r="AM10" s="47"/>
      <c r="AN10" s="47"/>
      <c r="AO10" s="47"/>
      <c r="AP10" s="47"/>
      <c r="AQ10" s="47"/>
      <c r="AR10" s="45">
        <v>0</v>
      </c>
      <c r="AS10" s="45">
        <v>0</v>
      </c>
      <c r="AT10" s="45">
        <v>0</v>
      </c>
      <c r="AU10" s="45">
        <v>0</v>
      </c>
      <c r="AV10" s="45">
        <f t="shared" ref="AV10" si="17">BIN2DEC(CONCATENATE(0,0,0,0,AR10,AS10,AT10,AU10))</f>
        <v>0</v>
      </c>
      <c r="AW10" s="45">
        <v>0</v>
      </c>
      <c r="AX10" s="45">
        <f t="shared" si="3"/>
        <v>0</v>
      </c>
      <c r="AY10" s="45"/>
      <c r="AZ10" s="43"/>
      <c r="BA10" s="45"/>
      <c r="BB10" s="45"/>
      <c r="BC10" s="48"/>
      <c r="BD10" s="45"/>
      <c r="BE10" s="49"/>
      <c r="BF10" s="45"/>
      <c r="BG10" s="50" t="str">
        <f t="shared" ref="BG10" si="1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НН1 / ЗАВР", note: "Оперативный вывод ЛО НН1 / ЗАВР", group: "control", minValue: null, maxValue: null, step: null, units: "null", defaultValue: null, eventRegistration: 0</v>
      </c>
      <c r="BH10" s="51"/>
    </row>
    <row r="11" spans="1:16379" s="67" customFormat="1" ht="15.75" x14ac:dyDescent="0.25">
      <c r="A11" s="52"/>
      <c r="B11" s="53" t="s">
        <v>50</v>
      </c>
      <c r="C11" s="54"/>
      <c r="D11" s="55"/>
      <c r="E11" s="56" t="s">
        <v>55</v>
      </c>
      <c r="F11" s="56" t="s">
        <v>56</v>
      </c>
      <c r="G11" s="56" t="s">
        <v>56</v>
      </c>
      <c r="H11" s="55"/>
      <c r="I11" s="57">
        <f t="shared" si="9"/>
        <v>10</v>
      </c>
      <c r="J11" s="57" t="str">
        <f t="shared" si="10"/>
        <v>Насл.режим</v>
      </c>
      <c r="K11" s="58" t="s">
        <v>58</v>
      </c>
      <c r="L11" s="59" t="s">
        <v>57</v>
      </c>
      <c r="M11" s="60" t="s">
        <v>51</v>
      </c>
      <c r="N11" s="60" t="s">
        <v>52</v>
      </c>
      <c r="O11" s="60"/>
      <c r="P11" s="54"/>
      <c r="Q11" s="54"/>
      <c r="R11" s="60" t="s">
        <v>53</v>
      </c>
      <c r="S11" s="60" t="s">
        <v>53</v>
      </c>
      <c r="T11" s="60" t="s">
        <v>53</v>
      </c>
      <c r="U11" s="60" t="s">
        <v>53</v>
      </c>
      <c r="V11" s="54"/>
      <c r="W11" s="54"/>
      <c r="X11" s="60" t="s">
        <v>53</v>
      </c>
      <c r="Y11" s="61">
        <v>0</v>
      </c>
      <c r="Z11" s="54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63" t="s">
        <v>96</v>
      </c>
      <c r="AJ11" s="64" t="s">
        <v>112</v>
      </c>
      <c r="AK11" s="64" t="s">
        <v>59</v>
      </c>
      <c r="AL11" s="64" t="s">
        <v>60</v>
      </c>
      <c r="AM11" s="64" t="s">
        <v>61</v>
      </c>
      <c r="AN11" s="64"/>
      <c r="AO11" s="64" t="s">
        <v>62</v>
      </c>
      <c r="AP11" s="64" t="str">
        <f>CONCATENATE(AJ11, ".", AL11)</f>
        <v>LLN0.GrRef.setSrcRef</v>
      </c>
      <c r="AQ11" s="64" t="s">
        <v>63</v>
      </c>
      <c r="AR11" s="62">
        <v>0</v>
      </c>
      <c r="AS11" s="62">
        <v>0</v>
      </c>
      <c r="AT11" s="62">
        <v>0</v>
      </c>
      <c r="AU11" s="62">
        <v>0</v>
      </c>
      <c r="AV11" s="62">
        <f t="shared" ref="AV11:AV13" si="19">BIN2DEC(CONCATENATE(0,0,0,0,AR11,AS11,AT11,AU11))</f>
        <v>0</v>
      </c>
      <c r="AW11" s="62">
        <v>0</v>
      </c>
      <c r="AX11" s="62">
        <f t="shared" si="3"/>
        <v>0</v>
      </c>
      <c r="AY11" s="65"/>
      <c r="AZ11" s="54"/>
      <c r="BA11" s="54"/>
      <c r="BB11" s="54"/>
      <c r="BC11" s="54"/>
      <c r="BD11" s="54"/>
      <c r="BE11" s="54"/>
      <c r="BF11" s="54"/>
      <c r="BG11" s="66" t="str">
        <f t="shared" ref="BG11:BG13" si="2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7" customFormat="1" ht="15.75" x14ac:dyDescent="0.25">
      <c r="A12" s="52"/>
      <c r="B12" s="53" t="s">
        <v>50</v>
      </c>
      <c r="C12" s="54"/>
      <c r="D12" s="55"/>
      <c r="E12" s="56" t="s">
        <v>68</v>
      </c>
      <c r="F12" s="56" t="s">
        <v>69</v>
      </c>
      <c r="G12" s="56" t="s">
        <v>69</v>
      </c>
      <c r="H12" s="55"/>
      <c r="I12" s="57">
        <f t="shared" si="9"/>
        <v>8</v>
      </c>
      <c r="J12" s="57" t="str">
        <f t="shared" si="10"/>
        <v>Ош.крит.</v>
      </c>
      <c r="K12" s="58" t="s">
        <v>70</v>
      </c>
      <c r="L12" s="68" t="s">
        <v>54</v>
      </c>
      <c r="M12" s="60" t="s">
        <v>51</v>
      </c>
      <c r="N12" s="60" t="s">
        <v>52</v>
      </c>
      <c r="O12" s="60"/>
      <c r="P12" s="54"/>
      <c r="Q12" s="54"/>
      <c r="R12" s="60" t="s">
        <v>53</v>
      </c>
      <c r="S12" s="60" t="s">
        <v>53</v>
      </c>
      <c r="T12" s="60" t="s">
        <v>53</v>
      </c>
      <c r="U12" s="60" t="s">
        <v>53</v>
      </c>
      <c r="V12" s="54"/>
      <c r="W12" s="54"/>
      <c r="X12" s="60" t="s">
        <v>53</v>
      </c>
      <c r="Y12" s="61">
        <v>0</v>
      </c>
      <c r="Z12" s="54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63"/>
      <c r="AJ12" s="64"/>
      <c r="AK12" s="64"/>
      <c r="AL12" s="64"/>
      <c r="AM12" s="64"/>
      <c r="AN12" s="64"/>
      <c r="AO12" s="64"/>
      <c r="AP12" s="64"/>
      <c r="AQ12" s="64"/>
      <c r="AR12" s="62">
        <v>0</v>
      </c>
      <c r="AS12" s="62">
        <v>0</v>
      </c>
      <c r="AT12" s="62">
        <v>0</v>
      </c>
      <c r="AU12" s="62">
        <v>0</v>
      </c>
      <c r="AV12" s="62">
        <f t="shared" si="19"/>
        <v>0</v>
      </c>
      <c r="AW12" s="62">
        <v>0</v>
      </c>
      <c r="AX12" s="62">
        <f t="shared" si="3"/>
        <v>0</v>
      </c>
      <c r="AY12" s="65"/>
      <c r="AZ12" s="54"/>
      <c r="BA12" s="54"/>
      <c r="BB12" s="54"/>
      <c r="BC12" s="54"/>
      <c r="BD12" s="54"/>
      <c r="BE12" s="54"/>
      <c r="BF12" s="54"/>
      <c r="BG12" s="66" t="str">
        <f t="shared" si="2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7" customFormat="1" ht="15.75" x14ac:dyDescent="0.25">
      <c r="A13" s="52"/>
      <c r="B13" s="53" t="s">
        <v>50</v>
      </c>
      <c r="C13" s="54"/>
      <c r="D13" s="55"/>
      <c r="E13" s="56" t="s">
        <v>71</v>
      </c>
      <c r="F13" s="56" t="s">
        <v>72</v>
      </c>
      <c r="G13" s="56" t="s">
        <v>72</v>
      </c>
      <c r="H13" s="55"/>
      <c r="I13" s="57">
        <f t="shared" si="9"/>
        <v>6</v>
      </c>
      <c r="J13" s="57" t="str">
        <f t="shared" si="10"/>
        <v>Ошибка</v>
      </c>
      <c r="K13" s="58" t="s">
        <v>73</v>
      </c>
      <c r="L13" s="68" t="s">
        <v>54</v>
      </c>
      <c r="M13" s="60" t="s">
        <v>51</v>
      </c>
      <c r="N13" s="60" t="s">
        <v>52</v>
      </c>
      <c r="O13" s="60"/>
      <c r="P13" s="54"/>
      <c r="Q13" s="54"/>
      <c r="R13" s="60" t="s">
        <v>53</v>
      </c>
      <c r="S13" s="60" t="s">
        <v>53</v>
      </c>
      <c r="T13" s="60" t="s">
        <v>53</v>
      </c>
      <c r="U13" s="60" t="s">
        <v>53</v>
      </c>
      <c r="V13" s="54"/>
      <c r="W13" s="54"/>
      <c r="X13" s="60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/>
      <c r="AJ13" s="64"/>
      <c r="AK13" s="64"/>
      <c r="AL13" s="64"/>
      <c r="AM13" s="64"/>
      <c r="AN13" s="64"/>
      <c r="AO13" s="64"/>
      <c r="AP13" s="64"/>
      <c r="AQ13" s="64"/>
      <c r="AR13" s="62">
        <v>0</v>
      </c>
      <c r="AS13" s="62">
        <v>0</v>
      </c>
      <c r="AT13" s="62">
        <v>0</v>
      </c>
      <c r="AU13" s="62">
        <v>0</v>
      </c>
      <c r="AV13" s="62">
        <f t="shared" si="19"/>
        <v>0</v>
      </c>
      <c r="AW13" s="62">
        <v>0</v>
      </c>
      <c r="AX13" s="62">
        <f t="shared" si="3"/>
        <v>0</v>
      </c>
      <c r="AY13" s="65"/>
      <c r="AZ13" s="54"/>
      <c r="BA13" s="54"/>
      <c r="BB13" s="54"/>
      <c r="BC13" s="54"/>
      <c r="BD13" s="54"/>
      <c r="BE13" s="54"/>
      <c r="BF13" s="54"/>
      <c r="BG13" s="66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K1" zoomScale="80" zoomScaleNormal="80" workbookViewId="0">
      <selection activeCell="AT6" sqref="AT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2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3" t="s">
        <v>197</v>
      </c>
      <c r="AW2" s="103" t="s">
        <v>198</v>
      </c>
      <c r="AX2" s="103" t="s">
        <v>199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6"/>
      <c r="B3" s="104" t="s">
        <v>200</v>
      </c>
      <c r="C3" s="87"/>
      <c r="D3" s="97" t="s">
        <v>161</v>
      </c>
      <c r="E3" s="83" t="s">
        <v>75</v>
      </c>
      <c r="F3" s="19" t="s">
        <v>76</v>
      </c>
      <c r="G3" s="19" t="s">
        <v>76</v>
      </c>
      <c r="H3" s="82"/>
      <c r="I3" s="83">
        <f t="shared" ref="I3:I4" si="0">LEN(F3)</f>
        <v>4</v>
      </c>
      <c r="J3" s="83" t="str">
        <f>IF(LEN(F3)&lt;=$J$1,F3,"")</f>
        <v>Ввод</v>
      </c>
      <c r="K3" s="88" t="s">
        <v>127</v>
      </c>
      <c r="L3" s="89" t="s">
        <v>54</v>
      </c>
      <c r="M3" s="90" t="s">
        <v>51</v>
      </c>
      <c r="N3" s="90" t="s">
        <v>52</v>
      </c>
      <c r="O3" s="90"/>
      <c r="P3" s="30"/>
      <c r="Q3" s="30"/>
      <c r="R3" s="90" t="s">
        <v>53</v>
      </c>
      <c r="S3" s="90" t="s">
        <v>53</v>
      </c>
      <c r="T3" s="90" t="s">
        <v>53</v>
      </c>
      <c r="U3" s="90" t="s">
        <v>53</v>
      </c>
      <c r="V3" s="87"/>
      <c r="W3" s="87"/>
      <c r="X3" s="90" t="s">
        <v>53</v>
      </c>
      <c r="Y3" s="90">
        <v>2</v>
      </c>
      <c r="Z3" s="87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92"/>
      <c r="AJ3" s="37"/>
      <c r="AK3" s="37"/>
      <c r="AL3" s="37"/>
      <c r="AM3" s="37"/>
      <c r="AN3" s="37"/>
      <c r="AO3" s="37"/>
      <c r="AP3" s="37"/>
      <c r="AQ3" s="37"/>
      <c r="AR3" s="87">
        <v>0</v>
      </c>
      <c r="AS3" s="87">
        <v>1</v>
      </c>
      <c r="AT3" s="87">
        <v>0</v>
      </c>
      <c r="AU3" s="87">
        <v>1</v>
      </c>
      <c r="AV3" s="87">
        <v>1</v>
      </c>
      <c r="AW3" s="87">
        <v>1</v>
      </c>
      <c r="AX3" s="87">
        <v>1</v>
      </c>
      <c r="AY3" s="91"/>
      <c r="AZ3" s="87"/>
      <c r="BA3" s="87"/>
      <c r="BB3" s="87"/>
      <c r="BC3" s="87"/>
      <c r="BD3" s="87"/>
      <c r="BE3" s="87"/>
      <c r="BF3" s="87"/>
      <c r="BG3" s="8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86"/>
      <c r="B4" s="104" t="s">
        <v>200</v>
      </c>
      <c r="C4" s="87"/>
      <c r="D4" s="97" t="s">
        <v>161</v>
      </c>
      <c r="E4" s="83" t="s">
        <v>77</v>
      </c>
      <c r="F4" s="19" t="s">
        <v>109</v>
      </c>
      <c r="G4" s="19" t="s">
        <v>109</v>
      </c>
      <c r="H4" s="82"/>
      <c r="I4" s="83">
        <f t="shared" si="0"/>
        <v>17</v>
      </c>
      <c r="J4" s="83" t="str">
        <f t="shared" ref="J4" si="2">IF(LEN(F4)&lt;=$J$1,F4,"")</f>
        <v>Оперативный вывод</v>
      </c>
      <c r="K4" s="88" t="s">
        <v>128</v>
      </c>
      <c r="L4" s="89" t="s">
        <v>54</v>
      </c>
      <c r="M4" s="90" t="s">
        <v>51</v>
      </c>
      <c r="N4" s="90" t="s">
        <v>52</v>
      </c>
      <c r="O4" s="90"/>
      <c r="P4" s="30"/>
      <c r="Q4" s="30"/>
      <c r="R4" s="90" t="s">
        <v>53</v>
      </c>
      <c r="S4" s="90" t="s">
        <v>53</v>
      </c>
      <c r="T4" s="90" t="s">
        <v>53</v>
      </c>
      <c r="U4" s="90" t="s">
        <v>53</v>
      </c>
      <c r="V4" s="87"/>
      <c r="W4" s="87"/>
      <c r="X4" s="90" t="s">
        <v>53</v>
      </c>
      <c r="Y4" s="90">
        <v>2</v>
      </c>
      <c r="Z4" s="87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92"/>
      <c r="AJ4" s="37"/>
      <c r="AK4" s="37"/>
      <c r="AL4" s="37"/>
      <c r="AM4" s="37"/>
      <c r="AN4" s="37"/>
      <c r="AO4" s="37"/>
      <c r="AP4" s="37"/>
      <c r="AQ4" s="37"/>
      <c r="AR4" s="87">
        <v>0</v>
      </c>
      <c r="AS4" s="87">
        <v>1</v>
      </c>
      <c r="AT4" s="87">
        <v>0</v>
      </c>
      <c r="AU4" s="87">
        <v>1</v>
      </c>
      <c r="AV4" s="87">
        <v>1</v>
      </c>
      <c r="AW4" s="87">
        <v>1</v>
      </c>
      <c r="AX4" s="87">
        <v>1</v>
      </c>
      <c r="AY4" s="91"/>
      <c r="AZ4" s="87"/>
      <c r="BA4" s="87"/>
      <c r="BB4" s="87"/>
      <c r="BC4" s="87"/>
      <c r="BD4" s="87"/>
      <c r="BE4" s="87"/>
      <c r="BF4" s="87"/>
      <c r="BG4" s="8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86"/>
      <c r="B5" s="104" t="s">
        <v>200</v>
      </c>
      <c r="C5" s="87"/>
      <c r="D5" s="97" t="s">
        <v>161</v>
      </c>
      <c r="E5" s="83" t="s">
        <v>130</v>
      </c>
      <c r="F5" s="19" t="s">
        <v>130</v>
      </c>
      <c r="G5" s="19" t="s">
        <v>130</v>
      </c>
      <c r="H5" s="82"/>
      <c r="I5" s="83">
        <f>LEN(F5)</f>
        <v>10</v>
      </c>
      <c r="J5" s="83" t="str">
        <f>IF(LEN(F5)&lt;=$J$1,F5,"")</f>
        <v>Отключение</v>
      </c>
      <c r="K5" s="88" t="s">
        <v>129</v>
      </c>
      <c r="L5" s="89" t="s">
        <v>54</v>
      </c>
      <c r="M5" s="90" t="s">
        <v>51</v>
      </c>
      <c r="N5" s="90" t="s">
        <v>52</v>
      </c>
      <c r="O5" s="90"/>
      <c r="P5" s="30"/>
      <c r="Q5" s="30"/>
      <c r="R5" s="90" t="s">
        <v>53</v>
      </c>
      <c r="S5" s="90" t="s">
        <v>53</v>
      </c>
      <c r="T5" s="90" t="s">
        <v>53</v>
      </c>
      <c r="U5" s="90" t="s">
        <v>53</v>
      </c>
      <c r="V5" s="87"/>
      <c r="W5" s="87"/>
      <c r="X5" s="90" t="s">
        <v>53</v>
      </c>
      <c r="Y5" s="90">
        <v>2</v>
      </c>
      <c r="Z5" s="87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92" t="s">
        <v>140</v>
      </c>
      <c r="AJ5" s="37" t="s">
        <v>145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87">
        <v>0</v>
      </c>
      <c r="AS5" s="87">
        <v>1</v>
      </c>
      <c r="AT5" s="87">
        <v>0</v>
      </c>
      <c r="AU5" s="87">
        <v>1</v>
      </c>
      <c r="AV5" s="87">
        <v>1</v>
      </c>
      <c r="AW5" s="87">
        <v>1</v>
      </c>
      <c r="AX5" s="87">
        <v>1</v>
      </c>
      <c r="AY5" s="91"/>
      <c r="AZ5" s="87"/>
      <c r="BA5" s="87"/>
      <c r="BB5" s="87"/>
      <c r="BC5" s="87"/>
      <c r="BD5" s="87"/>
      <c r="BE5" s="87"/>
      <c r="BF5" s="87"/>
      <c r="BG5" s="8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86"/>
      <c r="B6" s="104" t="s">
        <v>200</v>
      </c>
      <c r="C6" s="87"/>
      <c r="D6" s="97" t="s">
        <v>161</v>
      </c>
      <c r="E6" s="83" t="s">
        <v>131</v>
      </c>
      <c r="F6" s="19" t="s">
        <v>131</v>
      </c>
      <c r="G6" s="19" t="s">
        <v>131</v>
      </c>
      <c r="H6" s="82"/>
      <c r="I6" s="83">
        <f>LEN(F6)</f>
        <v>18</v>
      </c>
      <c r="J6" s="83" t="str">
        <f>IF(LEN(F6)&lt;=$J$1,F6,"")</f>
        <v>Отключить аварийно</v>
      </c>
      <c r="K6" s="88" t="s">
        <v>132</v>
      </c>
      <c r="L6" s="89" t="s">
        <v>54</v>
      </c>
      <c r="M6" s="90" t="s">
        <v>51</v>
      </c>
      <c r="N6" s="90" t="s">
        <v>52</v>
      </c>
      <c r="O6" s="90"/>
      <c r="P6" s="30"/>
      <c r="Q6" s="30"/>
      <c r="R6" s="90" t="s">
        <v>53</v>
      </c>
      <c r="S6" s="90" t="s">
        <v>53</v>
      </c>
      <c r="T6" s="90" t="s">
        <v>53</v>
      </c>
      <c r="U6" s="90" t="s">
        <v>53</v>
      </c>
      <c r="V6" s="87"/>
      <c r="W6" s="87"/>
      <c r="X6" s="90" t="s">
        <v>53</v>
      </c>
      <c r="Y6" s="90">
        <v>2</v>
      </c>
      <c r="Z6" s="87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92" t="s">
        <v>140</v>
      </c>
      <c r="AJ6" s="37" t="s">
        <v>146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87">
        <v>0</v>
      </c>
      <c r="AS6" s="87">
        <v>1</v>
      </c>
      <c r="AT6" s="87">
        <v>0</v>
      </c>
      <c r="AU6" s="87">
        <v>1</v>
      </c>
      <c r="AV6" s="87">
        <v>1</v>
      </c>
      <c r="AW6" s="87">
        <v>1</v>
      </c>
      <c r="AX6" s="87">
        <v>1</v>
      </c>
      <c r="AY6" s="91"/>
      <c r="AZ6" s="87"/>
      <c r="BA6" s="87"/>
      <c r="BB6" s="87"/>
      <c r="BC6" s="87"/>
      <c r="BD6" s="87"/>
      <c r="BE6" s="87"/>
      <c r="BF6" s="87"/>
      <c r="BG6" s="8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79" customFormat="1" ht="15.75" x14ac:dyDescent="0.25">
      <c r="A7" s="69"/>
      <c r="B7" s="104" t="s">
        <v>200</v>
      </c>
      <c r="C7" s="70"/>
      <c r="D7" s="98" t="s">
        <v>158</v>
      </c>
      <c r="E7" s="41" t="s">
        <v>75</v>
      </c>
      <c r="F7" s="71" t="s">
        <v>76</v>
      </c>
      <c r="G7" s="71" t="s">
        <v>76</v>
      </c>
      <c r="H7" s="72"/>
      <c r="I7" s="41">
        <f t="shared" ref="I7:I8" si="3">LEN(F7)</f>
        <v>4</v>
      </c>
      <c r="J7" s="41" t="str">
        <f>IF(LEN(F7)&lt;=$J$1,F7,"")</f>
        <v>Ввод</v>
      </c>
      <c r="K7" s="73" t="s">
        <v>133</v>
      </c>
      <c r="L7" s="74" t="s">
        <v>54</v>
      </c>
      <c r="M7" s="75" t="s">
        <v>51</v>
      </c>
      <c r="N7" s="75" t="s">
        <v>52</v>
      </c>
      <c r="O7" s="75"/>
      <c r="P7" s="43"/>
      <c r="Q7" s="43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6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79" customFormat="1" ht="15.75" x14ac:dyDescent="0.25">
      <c r="A8" s="69"/>
      <c r="B8" s="104" t="s">
        <v>200</v>
      </c>
      <c r="C8" s="70"/>
      <c r="D8" s="98" t="s">
        <v>158</v>
      </c>
      <c r="E8" s="41" t="s">
        <v>77</v>
      </c>
      <c r="F8" s="71" t="s">
        <v>109</v>
      </c>
      <c r="G8" s="71" t="s">
        <v>109</v>
      </c>
      <c r="H8" s="72"/>
      <c r="I8" s="41">
        <f t="shared" si="3"/>
        <v>17</v>
      </c>
      <c r="J8" s="41" t="str">
        <f t="shared" ref="J8" si="5">IF(LEN(F8)&lt;=$J$1,F8,"")</f>
        <v>Оперативный вывод</v>
      </c>
      <c r="K8" s="73" t="s">
        <v>134</v>
      </c>
      <c r="L8" s="74" t="s">
        <v>54</v>
      </c>
      <c r="M8" s="75" t="s">
        <v>51</v>
      </c>
      <c r="N8" s="75" t="s">
        <v>52</v>
      </c>
      <c r="O8" s="75"/>
      <c r="P8" s="43"/>
      <c r="Q8" s="43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6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9" customFormat="1" ht="15.75" x14ac:dyDescent="0.25">
      <c r="A9" s="69"/>
      <c r="B9" s="104" t="s">
        <v>200</v>
      </c>
      <c r="C9" s="70"/>
      <c r="D9" s="98" t="s">
        <v>158</v>
      </c>
      <c r="E9" s="41" t="s">
        <v>117</v>
      </c>
      <c r="F9" s="71" t="s">
        <v>117</v>
      </c>
      <c r="G9" s="71" t="s">
        <v>117</v>
      </c>
      <c r="H9" s="72"/>
      <c r="I9" s="41">
        <f t="shared" ref="I9:I18" si="6">LEN(F9)</f>
        <v>10</v>
      </c>
      <c r="J9" s="41" t="str">
        <f t="shared" ref="J9:J18" si="7">IF(LEN(F9)&lt;=$J$1,F9,"")</f>
        <v>Запрет АПВ</v>
      </c>
      <c r="K9" s="73" t="s">
        <v>135</v>
      </c>
      <c r="L9" s="74" t="s">
        <v>54</v>
      </c>
      <c r="M9" s="75" t="s">
        <v>51</v>
      </c>
      <c r="N9" s="75" t="s">
        <v>52</v>
      </c>
      <c r="O9" s="75"/>
      <c r="P9" s="43"/>
      <c r="Q9" s="43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6" t="s">
        <v>118</v>
      </c>
      <c r="AJ9" s="76" t="s">
        <v>147</v>
      </c>
      <c r="AK9" s="76" t="s">
        <v>119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LVCBRECRBRE1.BlkOp.stVal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86"/>
      <c r="B10" s="104" t="s">
        <v>200</v>
      </c>
      <c r="C10" s="87"/>
      <c r="D10" s="97" t="s">
        <v>178</v>
      </c>
      <c r="E10" s="83" t="s">
        <v>75</v>
      </c>
      <c r="F10" s="19" t="s">
        <v>76</v>
      </c>
      <c r="G10" s="19" t="s">
        <v>76</v>
      </c>
      <c r="H10" s="82"/>
      <c r="I10" s="83">
        <f t="shared" si="6"/>
        <v>4</v>
      </c>
      <c r="J10" s="83" t="str">
        <f>IF(LEN(F10)&lt;=$J$1,F10,"")</f>
        <v>Ввод</v>
      </c>
      <c r="K10" s="88" t="s">
        <v>182</v>
      </c>
      <c r="L10" s="89" t="s">
        <v>54</v>
      </c>
      <c r="M10" s="90" t="s">
        <v>51</v>
      </c>
      <c r="N10" s="90" t="s">
        <v>52</v>
      </c>
      <c r="O10" s="90"/>
      <c r="P10" s="30"/>
      <c r="Q10" s="30"/>
      <c r="R10" s="90" t="s">
        <v>53</v>
      </c>
      <c r="S10" s="90" t="s">
        <v>53</v>
      </c>
      <c r="T10" s="90" t="s">
        <v>53</v>
      </c>
      <c r="U10" s="90" t="s">
        <v>53</v>
      </c>
      <c r="V10" s="87"/>
      <c r="W10" s="87"/>
      <c r="X10" s="90" t="s">
        <v>53</v>
      </c>
      <c r="Y10" s="90">
        <v>2</v>
      </c>
      <c r="Z10" s="87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92"/>
      <c r="AJ10" s="37"/>
      <c r="AK10" s="37"/>
      <c r="AL10" s="37"/>
      <c r="AM10" s="37"/>
      <c r="AN10" s="37"/>
      <c r="AO10" s="37"/>
      <c r="AP10" s="37"/>
      <c r="AQ10" s="37"/>
      <c r="AR10" s="87">
        <v>0</v>
      </c>
      <c r="AS10" s="87">
        <v>1</v>
      </c>
      <c r="AT10" s="87">
        <v>0</v>
      </c>
      <c r="AU10" s="87">
        <v>1</v>
      </c>
      <c r="AV10" s="87">
        <v>1</v>
      </c>
      <c r="AW10" s="87">
        <v>1</v>
      </c>
      <c r="AX10" s="87">
        <v>1</v>
      </c>
      <c r="AY10" s="91"/>
      <c r="AZ10" s="87"/>
      <c r="BA10" s="87"/>
      <c r="BB10" s="87"/>
      <c r="BC10" s="87"/>
      <c r="BD10" s="87"/>
      <c r="BE10" s="87"/>
      <c r="BF10" s="87"/>
      <c r="BG10" s="8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86"/>
      <c r="B11" s="104" t="s">
        <v>200</v>
      </c>
      <c r="C11" s="87"/>
      <c r="D11" s="97" t="s">
        <v>178</v>
      </c>
      <c r="E11" s="83" t="s">
        <v>77</v>
      </c>
      <c r="F11" s="19" t="s">
        <v>109</v>
      </c>
      <c r="G11" s="19" t="s">
        <v>109</v>
      </c>
      <c r="H11" s="82"/>
      <c r="I11" s="83">
        <f t="shared" si="6"/>
        <v>17</v>
      </c>
      <c r="J11" s="83" t="str">
        <f t="shared" ref="J11:J12" si="9">IF(LEN(F11)&lt;=$J$1,F11,"")</f>
        <v>Оперативный вывод</v>
      </c>
      <c r="K11" s="88" t="s">
        <v>183</v>
      </c>
      <c r="L11" s="89" t="s">
        <v>54</v>
      </c>
      <c r="M11" s="90" t="s">
        <v>51</v>
      </c>
      <c r="N11" s="90" t="s">
        <v>52</v>
      </c>
      <c r="O11" s="90"/>
      <c r="P11" s="30"/>
      <c r="Q11" s="30"/>
      <c r="R11" s="90" t="s">
        <v>53</v>
      </c>
      <c r="S11" s="90" t="s">
        <v>53</v>
      </c>
      <c r="T11" s="90" t="s">
        <v>53</v>
      </c>
      <c r="U11" s="90" t="s">
        <v>53</v>
      </c>
      <c r="V11" s="87"/>
      <c r="W11" s="87"/>
      <c r="X11" s="90" t="s">
        <v>53</v>
      </c>
      <c r="Y11" s="90">
        <v>2</v>
      </c>
      <c r="Z11" s="87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92"/>
      <c r="AJ11" s="37"/>
      <c r="AK11" s="37"/>
      <c r="AL11" s="37"/>
      <c r="AM11" s="37"/>
      <c r="AN11" s="37"/>
      <c r="AO11" s="37"/>
      <c r="AP11" s="37"/>
      <c r="AQ11" s="37"/>
      <c r="AR11" s="87">
        <v>0</v>
      </c>
      <c r="AS11" s="87">
        <v>1</v>
      </c>
      <c r="AT11" s="87">
        <v>0</v>
      </c>
      <c r="AU11" s="87">
        <v>1</v>
      </c>
      <c r="AV11" s="87">
        <v>1</v>
      </c>
      <c r="AW11" s="87">
        <v>1</v>
      </c>
      <c r="AX11" s="87">
        <v>1</v>
      </c>
      <c r="AY11" s="91"/>
      <c r="AZ11" s="87"/>
      <c r="BA11" s="87"/>
      <c r="BB11" s="87"/>
      <c r="BC11" s="87"/>
      <c r="BD11" s="87"/>
      <c r="BE11" s="87"/>
      <c r="BF11" s="87"/>
      <c r="BG11" s="8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86"/>
      <c r="B12" s="104" t="s">
        <v>200</v>
      </c>
      <c r="C12" s="87"/>
      <c r="D12" s="97" t="s">
        <v>178</v>
      </c>
      <c r="E12" s="83" t="s">
        <v>185</v>
      </c>
      <c r="F12" s="19" t="s">
        <v>185</v>
      </c>
      <c r="G12" s="19" t="s">
        <v>185</v>
      </c>
      <c r="H12" s="82"/>
      <c r="I12" s="83">
        <f t="shared" ref="I12" si="10">LEN(F12)</f>
        <v>10</v>
      </c>
      <c r="J12" s="83" t="str">
        <f t="shared" si="9"/>
        <v>Запрет АВР</v>
      </c>
      <c r="K12" s="88" t="s">
        <v>184</v>
      </c>
      <c r="L12" s="89" t="s">
        <v>54</v>
      </c>
      <c r="M12" s="90" t="s">
        <v>51</v>
      </c>
      <c r="N12" s="90" t="s">
        <v>52</v>
      </c>
      <c r="O12" s="90"/>
      <c r="P12" s="30"/>
      <c r="Q12" s="30"/>
      <c r="R12" s="90" t="s">
        <v>53</v>
      </c>
      <c r="S12" s="90" t="s">
        <v>53</v>
      </c>
      <c r="T12" s="90" t="s">
        <v>53</v>
      </c>
      <c r="U12" s="90" t="s">
        <v>53</v>
      </c>
      <c r="V12" s="87"/>
      <c r="W12" s="87"/>
      <c r="X12" s="90" t="s">
        <v>53</v>
      </c>
      <c r="Y12" s="90">
        <v>2</v>
      </c>
      <c r="Z12" s="87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92" t="s">
        <v>190</v>
      </c>
      <c r="AJ12" s="37" t="s">
        <v>191</v>
      </c>
      <c r="AK12" s="37" t="s">
        <v>119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LVBTSRBLC1.BlkOp.stVal</v>
      </c>
      <c r="AQ12" s="37" t="s">
        <v>63</v>
      </c>
      <c r="AR12" s="87">
        <v>0</v>
      </c>
      <c r="AS12" s="87">
        <v>1</v>
      </c>
      <c r="AT12" s="87">
        <v>0</v>
      </c>
      <c r="AU12" s="87">
        <v>1</v>
      </c>
      <c r="AV12" s="87">
        <v>1</v>
      </c>
      <c r="AW12" s="87">
        <v>1</v>
      </c>
      <c r="AX12" s="87">
        <v>1</v>
      </c>
      <c r="AY12" s="91"/>
      <c r="AZ12" s="87"/>
      <c r="BA12" s="87"/>
      <c r="BB12" s="87"/>
      <c r="BC12" s="87"/>
      <c r="BD12" s="87"/>
      <c r="BE12" s="87"/>
      <c r="BF12" s="87"/>
      <c r="BG12" s="8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7" customFormat="1" ht="15.75" x14ac:dyDescent="0.25">
      <c r="A13" s="52"/>
      <c r="B13" s="104" t="s">
        <v>200</v>
      </c>
      <c r="C13" s="54"/>
      <c r="D13" s="99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ref="AV13:AV16" si="13">BIN2DEC(CONCATENATE(0,0,0,0,AR13,AS13,AT13,AU13))</f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7" customFormat="1" ht="15.75" x14ac:dyDescent="0.25">
      <c r="A14" s="52"/>
      <c r="B14" s="104" t="s">
        <v>200</v>
      </c>
      <c r="C14" s="54"/>
      <c r="D14" s="99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3"/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86"/>
      <c r="B15" s="104" t="s">
        <v>200</v>
      </c>
      <c r="C15" s="87"/>
      <c r="D15" s="97" t="s">
        <v>161</v>
      </c>
      <c r="E15" s="83" t="s">
        <v>162</v>
      </c>
      <c r="F15" s="83" t="s">
        <v>87</v>
      </c>
      <c r="G15" s="83" t="s">
        <v>87</v>
      </c>
      <c r="H15" s="87"/>
      <c r="I15" s="83">
        <f t="shared" si="6"/>
        <v>9</v>
      </c>
      <c r="J15" s="83" t="str">
        <f t="shared" si="7"/>
        <v>Поведение</v>
      </c>
      <c r="K15" s="88" t="s">
        <v>136</v>
      </c>
      <c r="L15" s="89" t="s">
        <v>57</v>
      </c>
      <c r="M15" s="90" t="s">
        <v>51</v>
      </c>
      <c r="N15" s="90" t="s">
        <v>52</v>
      </c>
      <c r="O15" s="90"/>
      <c r="P15" s="87"/>
      <c r="Q15" s="87"/>
      <c r="R15" s="90" t="s">
        <v>53</v>
      </c>
      <c r="S15" s="90" t="s">
        <v>53</v>
      </c>
      <c r="T15" s="90" t="s">
        <v>53</v>
      </c>
      <c r="U15" s="90" t="s">
        <v>53</v>
      </c>
      <c r="V15" s="87"/>
      <c r="W15" s="87"/>
      <c r="X15" s="90" t="s">
        <v>53</v>
      </c>
      <c r="Y15" s="90">
        <v>0</v>
      </c>
      <c r="Z15" s="87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92" t="s">
        <v>140</v>
      </c>
      <c r="AJ15" s="37" t="s">
        <v>141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LVCBPTRC1.Beh.stVal</v>
      </c>
      <c r="AQ15" s="37" t="s">
        <v>63</v>
      </c>
      <c r="AR15" s="87">
        <v>0</v>
      </c>
      <c r="AS15" s="87">
        <v>0</v>
      </c>
      <c r="AT15" s="87">
        <v>0</v>
      </c>
      <c r="AU15" s="87">
        <v>0</v>
      </c>
      <c r="AV15" s="87">
        <f t="shared" si="13"/>
        <v>0</v>
      </c>
      <c r="AW15" s="87">
        <v>0</v>
      </c>
      <c r="AX15" s="87">
        <v>0</v>
      </c>
      <c r="AY15" s="91"/>
      <c r="AZ15" s="87"/>
      <c r="BA15" s="87"/>
      <c r="BB15" s="87"/>
      <c r="BC15" s="87"/>
      <c r="BD15" s="87"/>
      <c r="BE15" s="87"/>
      <c r="BF15" s="87"/>
      <c r="BG15" s="8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86"/>
      <c r="B16" s="104" t="s">
        <v>200</v>
      </c>
      <c r="C16" s="87"/>
      <c r="D16" s="97" t="s">
        <v>161</v>
      </c>
      <c r="E16" s="83" t="s">
        <v>163</v>
      </c>
      <c r="F16" s="83" t="s">
        <v>88</v>
      </c>
      <c r="G16" s="83" t="s">
        <v>88</v>
      </c>
      <c r="H16" s="87"/>
      <c r="I16" s="83">
        <f t="shared" si="6"/>
        <v>11</v>
      </c>
      <c r="J16" s="83" t="str">
        <f t="shared" si="7"/>
        <v>Исправность</v>
      </c>
      <c r="K16" s="88" t="s">
        <v>137</v>
      </c>
      <c r="L16" s="89" t="s">
        <v>57</v>
      </c>
      <c r="M16" s="90" t="s">
        <v>51</v>
      </c>
      <c r="N16" s="90" t="s">
        <v>52</v>
      </c>
      <c r="O16" s="90"/>
      <c r="P16" s="30"/>
      <c r="Q16" s="30"/>
      <c r="R16" s="90" t="s">
        <v>53</v>
      </c>
      <c r="S16" s="90" t="s">
        <v>53</v>
      </c>
      <c r="T16" s="90" t="s">
        <v>53</v>
      </c>
      <c r="U16" s="90" t="s">
        <v>53</v>
      </c>
      <c r="V16" s="87"/>
      <c r="W16" s="87"/>
      <c r="X16" s="90" t="s">
        <v>53</v>
      </c>
      <c r="Y16" s="90">
        <v>0</v>
      </c>
      <c r="Z16" s="87"/>
      <c r="AA16" s="85">
        <v>0</v>
      </c>
      <c r="AB16" s="85"/>
      <c r="AC16" s="85"/>
      <c r="AD16" s="85"/>
      <c r="AE16" s="85"/>
      <c r="AF16" s="85">
        <v>0</v>
      </c>
      <c r="AG16" s="85">
        <v>0</v>
      </c>
      <c r="AH16" s="85">
        <v>0</v>
      </c>
      <c r="AI16" s="92" t="s">
        <v>140</v>
      </c>
      <c r="AJ16" s="37" t="s">
        <v>142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LVCBPTRC1.Health.stVal</v>
      </c>
      <c r="AQ16" s="37" t="s">
        <v>63</v>
      </c>
      <c r="AR16" s="87">
        <v>0</v>
      </c>
      <c r="AS16" s="87">
        <v>0</v>
      </c>
      <c r="AT16" s="87">
        <v>0</v>
      </c>
      <c r="AU16" s="87">
        <v>0</v>
      </c>
      <c r="AV16" s="87">
        <f t="shared" si="13"/>
        <v>0</v>
      </c>
      <c r="AW16" s="87">
        <v>0</v>
      </c>
      <c r="AX16" s="87">
        <v>0</v>
      </c>
      <c r="AY16" s="91"/>
      <c r="AZ16" s="87"/>
      <c r="BA16" s="87"/>
      <c r="BB16" s="87"/>
      <c r="BC16" s="87"/>
      <c r="BD16" s="87"/>
      <c r="BE16" s="87"/>
      <c r="BF16" s="87"/>
      <c r="BG16" s="8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7" customFormat="1" ht="15.75" x14ac:dyDescent="0.25">
      <c r="A17" s="52"/>
      <c r="B17" s="104" t="s">
        <v>200</v>
      </c>
      <c r="C17" s="54"/>
      <c r="D17" s="99" t="s">
        <v>158</v>
      </c>
      <c r="E17" s="56" t="s">
        <v>159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138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118</v>
      </c>
      <c r="AJ17" s="64" t="s">
        <v>143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20" si="14">CONCATENATE(AJ17, ".", AL17)</f>
        <v>LVCBRECRBRE1.Beh.stVal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f t="shared" ref="AV17:AV20" si="15">BIN2DEC(CONCATENATE(0,0,0,0,AR17,AS17,AT17,AU17))</f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7" customFormat="1" ht="15.75" x14ac:dyDescent="0.25">
      <c r="A18" s="52"/>
      <c r="B18" s="104" t="s">
        <v>200</v>
      </c>
      <c r="C18" s="54"/>
      <c r="D18" s="99" t="s">
        <v>158</v>
      </c>
      <c r="E18" s="56" t="s">
        <v>160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139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118</v>
      </c>
      <c r="AJ18" s="64" t="s">
        <v>144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4"/>
        <v>LVCBRECRBRE1.Health.stVal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f t="shared" si="15"/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86"/>
      <c r="B19" s="104" t="s">
        <v>200</v>
      </c>
      <c r="C19" s="87"/>
      <c r="D19" s="97" t="s">
        <v>178</v>
      </c>
      <c r="E19" s="83" t="s">
        <v>186</v>
      </c>
      <c r="F19" s="83" t="s">
        <v>87</v>
      </c>
      <c r="G19" s="83" t="s">
        <v>87</v>
      </c>
      <c r="H19" s="87"/>
      <c r="I19" s="83">
        <f t="shared" ref="I19:I20" si="16">LEN(F19)</f>
        <v>9</v>
      </c>
      <c r="J19" s="83" t="str">
        <f t="shared" ref="J19:J20" si="17">IF(LEN(F19)&lt;=$J$1,F19,"")</f>
        <v>Поведение</v>
      </c>
      <c r="K19" s="88" t="s">
        <v>188</v>
      </c>
      <c r="L19" s="89" t="s">
        <v>57</v>
      </c>
      <c r="M19" s="90" t="s">
        <v>51</v>
      </c>
      <c r="N19" s="90" t="s">
        <v>52</v>
      </c>
      <c r="O19" s="90"/>
      <c r="P19" s="87"/>
      <c r="Q19" s="87"/>
      <c r="R19" s="90" t="s">
        <v>53</v>
      </c>
      <c r="S19" s="90" t="s">
        <v>53</v>
      </c>
      <c r="T19" s="90" t="s">
        <v>53</v>
      </c>
      <c r="U19" s="90" t="s">
        <v>53</v>
      </c>
      <c r="V19" s="87"/>
      <c r="W19" s="87"/>
      <c r="X19" s="90" t="s">
        <v>53</v>
      </c>
      <c r="Y19" s="90">
        <v>0</v>
      </c>
      <c r="Z19" s="87"/>
      <c r="AA19" s="85">
        <v>0</v>
      </c>
      <c r="AB19" s="85"/>
      <c r="AC19" s="85"/>
      <c r="AD19" s="85"/>
      <c r="AE19" s="85"/>
      <c r="AF19" s="85">
        <v>0</v>
      </c>
      <c r="AG19" s="85">
        <v>0</v>
      </c>
      <c r="AH19" s="85">
        <v>0</v>
      </c>
      <c r="AI19" s="92" t="s">
        <v>190</v>
      </c>
      <c r="AJ19" s="37" t="s">
        <v>192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si="14"/>
        <v>LVBTSRBLC1.Beh.stVal</v>
      </c>
      <c r="AQ19" s="37" t="s">
        <v>63</v>
      </c>
      <c r="AR19" s="87">
        <v>0</v>
      </c>
      <c r="AS19" s="87">
        <v>0</v>
      </c>
      <c r="AT19" s="87">
        <v>0</v>
      </c>
      <c r="AU19" s="87">
        <v>0</v>
      </c>
      <c r="AV19" s="87">
        <f t="shared" si="15"/>
        <v>0</v>
      </c>
      <c r="AW19" s="87">
        <v>0</v>
      </c>
      <c r="AX19" s="87">
        <v>0</v>
      </c>
      <c r="AY19" s="91"/>
      <c r="AZ19" s="87"/>
      <c r="BA19" s="87"/>
      <c r="BB19" s="87"/>
      <c r="BC19" s="87"/>
      <c r="BD19" s="87"/>
      <c r="BE19" s="87"/>
      <c r="BF19" s="87"/>
      <c r="BG19" s="84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86"/>
      <c r="B20" s="104" t="s">
        <v>200</v>
      </c>
      <c r="C20" s="87"/>
      <c r="D20" s="97" t="s">
        <v>178</v>
      </c>
      <c r="E20" s="83" t="s">
        <v>187</v>
      </c>
      <c r="F20" s="83" t="s">
        <v>88</v>
      </c>
      <c r="G20" s="83" t="s">
        <v>88</v>
      </c>
      <c r="H20" s="87"/>
      <c r="I20" s="83">
        <f t="shared" si="16"/>
        <v>11</v>
      </c>
      <c r="J20" s="83" t="str">
        <f t="shared" si="17"/>
        <v>Исправность</v>
      </c>
      <c r="K20" s="88" t="s">
        <v>189</v>
      </c>
      <c r="L20" s="89" t="s">
        <v>57</v>
      </c>
      <c r="M20" s="90" t="s">
        <v>51</v>
      </c>
      <c r="N20" s="90" t="s">
        <v>52</v>
      </c>
      <c r="O20" s="90"/>
      <c r="P20" s="30"/>
      <c r="Q20" s="30"/>
      <c r="R20" s="90" t="s">
        <v>53</v>
      </c>
      <c r="S20" s="90" t="s">
        <v>53</v>
      </c>
      <c r="T20" s="90" t="s">
        <v>53</v>
      </c>
      <c r="U20" s="90" t="s">
        <v>53</v>
      </c>
      <c r="V20" s="87"/>
      <c r="W20" s="87"/>
      <c r="X20" s="90" t="s">
        <v>53</v>
      </c>
      <c r="Y20" s="90">
        <v>0</v>
      </c>
      <c r="Z20" s="87"/>
      <c r="AA20" s="85">
        <v>0</v>
      </c>
      <c r="AB20" s="85"/>
      <c r="AC20" s="85"/>
      <c r="AD20" s="85"/>
      <c r="AE20" s="85"/>
      <c r="AF20" s="85">
        <v>0</v>
      </c>
      <c r="AG20" s="85">
        <v>0</v>
      </c>
      <c r="AH20" s="85">
        <v>0</v>
      </c>
      <c r="AI20" s="92" t="s">
        <v>190</v>
      </c>
      <c r="AJ20" s="37" t="s">
        <v>193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4"/>
        <v>LVBTSRBLC1.Health.stVal</v>
      </c>
      <c r="AQ20" s="37" t="s">
        <v>63</v>
      </c>
      <c r="AR20" s="87">
        <v>0</v>
      </c>
      <c r="AS20" s="87">
        <v>0</v>
      </c>
      <c r="AT20" s="87">
        <v>0</v>
      </c>
      <c r="AU20" s="87">
        <v>0</v>
      </c>
      <c r="AV20" s="87">
        <f t="shared" si="15"/>
        <v>0</v>
      </c>
      <c r="AW20" s="87">
        <v>0</v>
      </c>
      <c r="AX20" s="87">
        <v>0</v>
      </c>
      <c r="AY20" s="91"/>
      <c r="AZ20" s="87"/>
      <c r="BA20" s="87"/>
      <c r="BB20" s="87"/>
      <c r="BC20" s="87"/>
      <c r="BD20" s="87"/>
      <c r="BE20" s="87"/>
      <c r="BF20" s="87"/>
      <c r="BG20" s="84" t="str">
        <f t="shared" si="1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tabSelected="1" zoomScale="80" zoomScaleNormal="80" workbookViewId="0">
      <selection activeCell="G14" sqref="G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82"/>
      <c r="BA1" s="106" t="s">
        <v>0</v>
      </c>
      <c r="BB1" s="107"/>
      <c r="BC1" s="107"/>
      <c r="BD1" s="107"/>
      <c r="BE1" s="107"/>
      <c r="BF1" s="107"/>
      <c r="BG1" s="107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108" t="s">
        <v>207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3" customFormat="1" ht="15.75" x14ac:dyDescent="0.25">
      <c r="A3" s="86"/>
      <c r="B3" s="86" t="s">
        <v>89</v>
      </c>
      <c r="C3" s="90"/>
      <c r="D3" s="97" t="s">
        <v>161</v>
      </c>
      <c r="E3" s="83" t="s">
        <v>120</v>
      </c>
      <c r="F3" s="83" t="s">
        <v>111</v>
      </c>
      <c r="G3" s="83" t="s">
        <v>115</v>
      </c>
      <c r="H3" s="109" t="s">
        <v>115</v>
      </c>
      <c r="I3" s="83" t="s">
        <v>105</v>
      </c>
      <c r="J3" s="83">
        <f>LEN(F3)</f>
        <v>12</v>
      </c>
      <c r="K3" s="83" t="str">
        <f>IF(LEN(F3)&lt;=$K$1,F3,"")</f>
        <v>Ввод_функции</v>
      </c>
      <c r="L3" s="86" t="s">
        <v>155</v>
      </c>
      <c r="M3" s="89" t="s">
        <v>54</v>
      </c>
      <c r="N3" s="90" t="s">
        <v>52</v>
      </c>
      <c r="O3" s="90" t="s">
        <v>52</v>
      </c>
      <c r="P3" s="90"/>
      <c r="Q3" s="91">
        <v>0</v>
      </c>
      <c r="R3" s="91"/>
      <c r="S3" s="90" t="s">
        <v>53</v>
      </c>
      <c r="T3" s="90">
        <v>0</v>
      </c>
      <c r="U3" s="90">
        <v>1</v>
      </c>
      <c r="V3" s="90">
        <v>1</v>
      </c>
      <c r="W3" s="90"/>
      <c r="X3" s="90"/>
      <c r="Y3" s="90">
        <v>0</v>
      </c>
      <c r="Z3" s="90">
        <v>0</v>
      </c>
      <c r="AA3" s="88"/>
      <c r="AB3" s="85">
        <v>0</v>
      </c>
      <c r="AC3" s="85"/>
      <c r="AD3" s="85"/>
      <c r="AE3" s="85"/>
      <c r="AF3" s="85"/>
      <c r="AG3" s="85">
        <v>0</v>
      </c>
      <c r="AH3" s="85">
        <v>0</v>
      </c>
      <c r="AI3" s="85">
        <v>0</v>
      </c>
      <c r="AJ3" s="85"/>
      <c r="AK3" s="87"/>
      <c r="AL3" s="87"/>
      <c r="AM3" s="87"/>
      <c r="AN3" s="87"/>
      <c r="AO3" s="87"/>
      <c r="AP3" s="87"/>
      <c r="AQ3" s="87"/>
      <c r="AR3" s="87"/>
      <c r="AS3" s="87">
        <v>0</v>
      </c>
      <c r="AT3" s="87">
        <v>0</v>
      </c>
      <c r="AU3" s="87">
        <v>0</v>
      </c>
      <c r="AV3" s="87">
        <v>0</v>
      </c>
      <c r="AW3" s="87">
        <f>BIN2DEC(CONCATENATE(0,0,0,0,AS3,AT3,AU3,AV3))</f>
        <v>0</v>
      </c>
      <c r="AX3" s="87" t="s">
        <v>106</v>
      </c>
      <c r="AY3" s="87"/>
      <c r="AZ3" s="91"/>
      <c r="BA3" s="87"/>
      <c r="BB3" s="87"/>
      <c r="BC3" s="87"/>
      <c r="BD3" s="87"/>
      <c r="BE3" s="87"/>
      <c r="BF3" s="87"/>
      <c r="BG3" s="87"/>
      <c r="BH3" s="8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3" customFormat="1" ht="15.75" x14ac:dyDescent="0.25">
      <c r="A4" s="86"/>
      <c r="B4" s="86" t="s">
        <v>89</v>
      </c>
      <c r="C4" s="90"/>
      <c r="D4" s="97" t="s">
        <v>161</v>
      </c>
      <c r="E4" s="83" t="s">
        <v>148</v>
      </c>
      <c r="F4" s="83" t="s">
        <v>149</v>
      </c>
      <c r="G4" s="83" t="s">
        <v>150</v>
      </c>
      <c r="H4" s="109" t="s">
        <v>150</v>
      </c>
      <c r="I4" s="83"/>
      <c r="J4" s="83">
        <v>3</v>
      </c>
      <c r="K4" s="83" t="str">
        <f>IF(LEN(F4)&lt;=$K$1,F4,"")</f>
        <v>Тимп</v>
      </c>
      <c r="L4" s="86" t="s">
        <v>156</v>
      </c>
      <c r="M4" s="89" t="s">
        <v>151</v>
      </c>
      <c r="N4" s="90" t="s">
        <v>52</v>
      </c>
      <c r="O4" s="90" t="s">
        <v>52</v>
      </c>
      <c r="P4" s="90"/>
      <c r="Q4" s="91">
        <v>2</v>
      </c>
      <c r="R4" s="91" t="s">
        <v>152</v>
      </c>
      <c r="S4" s="90" t="s">
        <v>153</v>
      </c>
      <c r="T4" s="90">
        <v>50</v>
      </c>
      <c r="U4" s="90">
        <v>60000</v>
      </c>
      <c r="V4" s="90">
        <v>10</v>
      </c>
      <c r="W4" s="90"/>
      <c r="X4" s="90"/>
      <c r="Y4" s="90">
        <v>500</v>
      </c>
      <c r="Z4" s="90">
        <v>0</v>
      </c>
      <c r="AA4" s="88"/>
      <c r="AB4" s="85">
        <v>0</v>
      </c>
      <c r="AC4" s="85"/>
      <c r="AD4" s="85"/>
      <c r="AE4" s="85"/>
      <c r="AF4" s="85"/>
      <c r="AG4" s="85">
        <v>0</v>
      </c>
      <c r="AH4" s="85">
        <v>0</v>
      </c>
      <c r="AI4" s="85">
        <v>0</v>
      </c>
      <c r="AJ4" s="92"/>
      <c r="AK4" s="87"/>
      <c r="AL4" s="87"/>
      <c r="AM4" s="87"/>
      <c r="AN4" s="87"/>
      <c r="AO4" s="87"/>
      <c r="AP4" s="87"/>
      <c r="AQ4" s="82"/>
      <c r="AR4" s="87"/>
      <c r="AS4" s="87">
        <v>0</v>
      </c>
      <c r="AT4" s="87">
        <v>0</v>
      </c>
      <c r="AU4" s="87">
        <v>0</v>
      </c>
      <c r="AV4" s="87">
        <v>0</v>
      </c>
      <c r="AW4" s="87">
        <f>BIN2DEC(CONCATENATE(0,0,0,0,AS4,AT4,AU4,AV4))</f>
        <v>0</v>
      </c>
      <c r="AX4" s="87"/>
      <c r="AY4" s="87"/>
      <c r="AZ4" s="91"/>
      <c r="BA4" s="87"/>
      <c r="BB4" s="87"/>
      <c r="BC4" s="87"/>
      <c r="BD4" s="87"/>
      <c r="BE4" s="87"/>
      <c r="BF4" s="87"/>
      <c r="BG4" s="87"/>
      <c r="BH4" s="84" t="s">
        <v>154</v>
      </c>
    </row>
    <row r="5" spans="1:16380" s="96" customFormat="1" ht="15.75" x14ac:dyDescent="0.25">
      <c r="A5" s="69"/>
      <c r="B5" s="69" t="s">
        <v>89</v>
      </c>
      <c r="C5" s="75"/>
      <c r="D5" s="98" t="s">
        <v>158</v>
      </c>
      <c r="E5" s="41" t="s">
        <v>120</v>
      </c>
      <c r="F5" s="41" t="s">
        <v>111</v>
      </c>
      <c r="G5" s="41" t="s">
        <v>115</v>
      </c>
      <c r="H5" s="109" t="s">
        <v>115</v>
      </c>
      <c r="I5" s="41" t="s">
        <v>105</v>
      </c>
      <c r="J5" s="41">
        <f>LEN(F5)</f>
        <v>12</v>
      </c>
      <c r="K5" s="41" t="str">
        <f>IF(LEN(F5)&lt;=$K$1,F5,"")</f>
        <v>Ввод_функции</v>
      </c>
      <c r="L5" s="69" t="s">
        <v>157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45">
        <v>0</v>
      </c>
      <c r="AC5" s="45"/>
      <c r="AD5" s="45"/>
      <c r="AE5" s="45"/>
      <c r="AF5" s="45"/>
      <c r="AG5" s="45">
        <v>0</v>
      </c>
      <c r="AH5" s="45">
        <v>0</v>
      </c>
      <c r="AI5" s="45">
        <v>0</v>
      </c>
      <c r="AJ5" s="45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>BIN2DEC(CONCATENATE(0,0,0,0,AS5,AT5,AU5,AV5))</f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93" customFormat="1" ht="15.75" x14ac:dyDescent="0.25">
      <c r="A6" s="86"/>
      <c r="B6" s="86" t="s">
        <v>89</v>
      </c>
      <c r="C6" s="90"/>
      <c r="D6" s="97" t="s">
        <v>178</v>
      </c>
      <c r="E6" s="83" t="s">
        <v>120</v>
      </c>
      <c r="F6" s="83" t="s">
        <v>111</v>
      </c>
      <c r="G6" s="83" t="s">
        <v>115</v>
      </c>
      <c r="H6" s="109" t="s">
        <v>115</v>
      </c>
      <c r="I6" s="83" t="s">
        <v>105</v>
      </c>
      <c r="J6" s="83">
        <f>LEN(F6)</f>
        <v>12</v>
      </c>
      <c r="K6" s="83" t="str">
        <f>IF(LEN(F6)&lt;=$K$1,F6,"")</f>
        <v>Ввод_функции</v>
      </c>
      <c r="L6" s="86" t="s">
        <v>194</v>
      </c>
      <c r="M6" s="89" t="s">
        <v>54</v>
      </c>
      <c r="N6" s="90" t="s">
        <v>52</v>
      </c>
      <c r="O6" s="90" t="s">
        <v>52</v>
      </c>
      <c r="P6" s="90"/>
      <c r="Q6" s="91">
        <v>0</v>
      </c>
      <c r="R6" s="91"/>
      <c r="S6" s="90" t="s">
        <v>53</v>
      </c>
      <c r="T6" s="90">
        <v>0</v>
      </c>
      <c r="U6" s="90">
        <v>1</v>
      </c>
      <c r="V6" s="90">
        <v>1</v>
      </c>
      <c r="W6" s="90"/>
      <c r="X6" s="90"/>
      <c r="Y6" s="90">
        <v>0</v>
      </c>
      <c r="Z6" s="90">
        <v>0</v>
      </c>
      <c r="AA6" s="88"/>
      <c r="AB6" s="85">
        <v>0</v>
      </c>
      <c r="AC6" s="85"/>
      <c r="AD6" s="85"/>
      <c r="AE6" s="85"/>
      <c r="AF6" s="85"/>
      <c r="AG6" s="85">
        <v>0</v>
      </c>
      <c r="AH6" s="85">
        <v>0</v>
      </c>
      <c r="AI6" s="85">
        <v>0</v>
      </c>
      <c r="AJ6" s="85"/>
      <c r="AK6" s="87"/>
      <c r="AL6" s="87"/>
      <c r="AM6" s="87"/>
      <c r="AN6" s="87"/>
      <c r="AO6" s="87"/>
      <c r="AP6" s="87"/>
      <c r="AQ6" s="87"/>
      <c r="AR6" s="87"/>
      <c r="AS6" s="87">
        <v>0</v>
      </c>
      <c r="AT6" s="87">
        <v>0</v>
      </c>
      <c r="AU6" s="87">
        <v>0</v>
      </c>
      <c r="AV6" s="87">
        <v>0</v>
      </c>
      <c r="AW6" s="87">
        <f>BIN2DEC(CONCATENATE(0,0,0,0,AS6,AT6,AU6,AV6))</f>
        <v>0</v>
      </c>
      <c r="AX6" s="87" t="s">
        <v>106</v>
      </c>
      <c r="AY6" s="87"/>
      <c r="AZ6" s="91"/>
      <c r="BA6" s="87"/>
      <c r="BB6" s="87"/>
      <c r="BC6" s="87"/>
      <c r="BD6" s="87"/>
      <c r="BE6" s="87"/>
      <c r="BF6" s="87"/>
      <c r="BG6" s="87"/>
      <c r="BH6" s="84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J12" sqref="J12"/>
    </sheetView>
  </sheetViews>
  <sheetFormatPr defaultRowHeight="15.75" x14ac:dyDescent="0.25"/>
  <cols>
    <col min="1" max="1" width="22.42578125" style="100" customWidth="1"/>
    <col min="2" max="2" width="15.85546875" style="100" bestFit="1" customWidth="1"/>
    <col min="3" max="16384" width="9.140625" style="100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1" t="s">
        <v>164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195</v>
      </c>
    </row>
    <row r="7" spans="1:2" x14ac:dyDescent="0.25">
      <c r="A7" s="23" t="s">
        <v>171</v>
      </c>
      <c r="B7" s="21">
        <v>1</v>
      </c>
    </row>
    <row r="8" spans="1:2" x14ac:dyDescent="0.25">
      <c r="A8" s="105" t="s">
        <v>201</v>
      </c>
      <c r="B8" t="s">
        <v>202</v>
      </c>
    </row>
    <row r="9" spans="1:2" x14ac:dyDescent="0.25">
      <c r="A9" s="105" t="s">
        <v>203</v>
      </c>
      <c r="B9" s="105"/>
    </row>
    <row r="10" spans="1:2" x14ac:dyDescent="0.25">
      <c r="A10" s="27" t="s">
        <v>161</v>
      </c>
      <c r="B10" t="s">
        <v>204</v>
      </c>
    </row>
    <row r="11" spans="1:2" x14ac:dyDescent="0.25">
      <c r="A11" s="98" t="s">
        <v>158</v>
      </c>
      <c r="B11" t="s">
        <v>205</v>
      </c>
    </row>
    <row r="12" spans="1:2" x14ac:dyDescent="0.25">
      <c r="A12" s="97" t="s">
        <v>178</v>
      </c>
      <c r="B12" t="s">
        <v>206</v>
      </c>
    </row>
    <row r="13" spans="1:2" x14ac:dyDescent="0.25">
      <c r="A13" s="105" t="s">
        <v>203</v>
      </c>
      <c r="B13" s="10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2025-07-22T06:34:19Z</dcterms:modified>
</cp:coreProperties>
</file>