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25" i="4" l="1"/>
  <c r="AX24" i="4"/>
  <c r="AX23" i="4"/>
  <c r="AX22" i="4"/>
  <c r="AX21" i="4"/>
  <c r="AX20" i="4"/>
  <c r="AX19" i="4"/>
  <c r="AX18" i="4"/>
  <c r="AX17" i="4"/>
  <c r="AX16" i="4"/>
  <c r="AX15" i="4"/>
  <c r="AX14" i="4"/>
  <c r="AX13" i="4"/>
  <c r="AX12" i="4"/>
  <c r="AX11" i="4"/>
  <c r="AX10" i="4"/>
  <c r="AX9" i="4"/>
  <c r="AX8" i="4"/>
  <c r="AX7" i="4"/>
  <c r="AX6" i="4"/>
  <c r="AX5" i="4"/>
  <c r="AX4" i="4"/>
  <c r="AX3" i="4"/>
  <c r="J23" i="4" l="1"/>
  <c r="J24" i="4"/>
  <c r="J25" i="4"/>
  <c r="BG4" i="6" l="1"/>
  <c r="AV4" i="6"/>
  <c r="J4" i="6"/>
  <c r="I4" i="6"/>
  <c r="BG14" i="5" l="1"/>
  <c r="AV14" i="5"/>
  <c r="AP14" i="5"/>
  <c r="J14" i="5"/>
  <c r="I14" i="5"/>
  <c r="BG13" i="5"/>
  <c r="AV13" i="5"/>
  <c r="AP13" i="5"/>
  <c r="J13" i="5"/>
  <c r="I13" i="5"/>
  <c r="BG8" i="5"/>
  <c r="AP8" i="5"/>
  <c r="J8" i="5"/>
  <c r="I8" i="5"/>
  <c r="BG7" i="5"/>
  <c r="J7" i="5"/>
  <c r="I7" i="5"/>
  <c r="BG6" i="5"/>
  <c r="J6" i="5"/>
  <c r="I6" i="5"/>
  <c r="BG18" i="4"/>
  <c r="AV18" i="4"/>
  <c r="J18" i="4"/>
  <c r="I18" i="4"/>
  <c r="BG17" i="4"/>
  <c r="AV17" i="4"/>
  <c r="J17" i="4"/>
  <c r="I17" i="4"/>
  <c r="BG16" i="4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AP5" i="5" l="1"/>
  <c r="BG5" i="5"/>
  <c r="J5" i="5"/>
  <c r="I5" i="5"/>
  <c r="BG22" i="4" l="1"/>
  <c r="AV22" i="4"/>
  <c r="J22" i="4"/>
  <c r="I22" i="4"/>
  <c r="BG21" i="4"/>
  <c r="AV21" i="4"/>
  <c r="J21" i="4"/>
  <c r="I21" i="4"/>
  <c r="BG19" i="4" l="1"/>
  <c r="AV19" i="4"/>
  <c r="J19" i="4"/>
  <c r="I19" i="4"/>
  <c r="AV9" i="5" l="1"/>
  <c r="AV10" i="5"/>
  <c r="AV11" i="5"/>
  <c r="AV12" i="5"/>
  <c r="BG20" i="4" l="1"/>
  <c r="AV20" i="4"/>
  <c r="J20" i="4"/>
  <c r="I20" i="4"/>
  <c r="BG12" i="5" l="1"/>
  <c r="BG11" i="5"/>
  <c r="BG10" i="5"/>
  <c r="BG9" i="5"/>
  <c r="BG3" i="6"/>
  <c r="AV3" i="6"/>
  <c r="J3" i="6"/>
  <c r="I3" i="6"/>
  <c r="AH1" i="6"/>
  <c r="AP12" i="5"/>
  <c r="J12" i="5"/>
  <c r="I12" i="5"/>
  <c r="AP11" i="5"/>
  <c r="J11" i="5"/>
  <c r="I11" i="5"/>
  <c r="AP10" i="5"/>
  <c r="J10" i="5"/>
  <c r="I10" i="5"/>
  <c r="AP9" i="5"/>
  <c r="J9" i="5"/>
  <c r="I9" i="5"/>
  <c r="BG4" i="5"/>
  <c r="J4" i="5"/>
  <c r="I4" i="5"/>
  <c r="BG3" i="5"/>
  <c r="J3" i="5"/>
  <c r="I3" i="5"/>
  <c r="AH1" i="5"/>
  <c r="BG25" i="4"/>
  <c r="AV25" i="4"/>
  <c r="I25" i="4"/>
  <c r="BG24" i="4"/>
  <c r="AV24" i="4"/>
  <c r="I24" i="4"/>
  <c r="BG23" i="4"/>
  <c r="AV23" i="4"/>
  <c r="AP23" i="4"/>
  <c r="I23" i="4"/>
  <c r="AH1" i="4"/>
</calcChain>
</file>

<file path=xl/sharedStrings.xml><?xml version="1.0" encoding="utf-8"?>
<sst xmlns="http://schemas.openxmlformats.org/spreadsheetml/2006/main" count="756" uniqueCount="218">
  <si>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</si>
  <si>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</si>
  <si>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</si>
  <si>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</si>
  <si>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</si>
  <si>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</si>
  <si>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</si>
  <si>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</si>
  <si>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</si>
  <si>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</si>
  <si>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</si>
  <si>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</si>
  <si>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</si>
  <si>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</si>
  <si>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</si>
  <si>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</si>
  <si>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</si>
  <si>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</si>
  <si>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</si>
  <si>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</si>
  <si>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</si>
  <si>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</si>
  <si>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</si>
  <si>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</si>
  <si>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</si>
  <si>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</si>
  <si>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</si>
  <si>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</si>
  <si>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</si>
  <si>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</si>
  <si>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</si>
  <si>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</si>
  <si>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</si>
  <si>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</si>
  <si>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</si>
  <si>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</si>
  <si>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</si>
  <si>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</si>
  <si>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</si>
  <si>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</si>
  <si>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</si>
  <si>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</si>
  <si>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</si>
  <si>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</si>
  <si>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</si>
  <si>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</si>
  <si>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</si>
  <si>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</si>
  <si>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</si>
  <si>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</si>
  <si>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</si>
  <si>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</si>
  <si>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</si>
  <si>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</si>
  <si>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</si>
  <si>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</si>
  <si>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</si>
  <si>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</si>
  <si>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</si>
  <si>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</si>
  <si>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</si>
  <si>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</si>
  <si>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</si>
  <si>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</si>
  <si>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</si>
  <si>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</si>
  <si>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</si>
  <si>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</si>
  <si>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</si>
  <si>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</si>
  <si>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</si>
  <si>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</si>
  <si>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</si>
  <si>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</si>
  <si>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</si>
  <si>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</si>
  <si>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</si>
  <si>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</si>
  <si>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</si>
  <si>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</si>
  <si>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</si>
  <si>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</si>
  <si>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</si>
  <si>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</si>
  <si>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</si>
  <si>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</si>
  <si>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</si>
  <si>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</si>
  <si>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</si>
  <si>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</si>
  <si>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</si>
  <si>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</si>
  <si>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</si>
  <si>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</si>
  <si>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</si>
  <si>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</si>
  <si>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</si>
  <si>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</si>
  <si>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</si>
  <si>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</si>
  <si>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</si>
  <si>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</si>
  <si>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</si>
  <si>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</si>
  <si>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</si>
  <si>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</si>
  <si>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</si>
  <si>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</si>
  <si>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</si>
  <si>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</si>
  <si>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</si>
  <si>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</si>
  <si>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</si>
  <si>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</si>
  <si>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</si>
  <si>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SGF1</t>
  </si>
  <si>
    <t>Срабатывание</t>
  </si>
  <si>
    <t>ACT</t>
  </si>
  <si>
    <t>Срабатывание ЗПО</t>
  </si>
  <si>
    <t>TPRMOFFLVLGC</t>
  </si>
  <si>
    <t>ЛО Т</t>
  </si>
  <si>
    <t>Срабатывание ДТО</t>
  </si>
  <si>
    <t>Срабатывание ДТЗт</t>
  </si>
  <si>
    <t>Срабатывание ЛО Гзоткл</t>
  </si>
  <si>
    <t>Срабатывание ЛО Гзсигн</t>
  </si>
  <si>
    <t>Срабатывание ЛО ГЗ РПН</t>
  </si>
  <si>
    <t>Срабатывание ЛО ДТм</t>
  </si>
  <si>
    <t>Срабатывание ЛО РД</t>
  </si>
  <si>
    <t>Срабатывание ЛО ПК</t>
  </si>
  <si>
    <t>Срабатывание ЛО ОК</t>
  </si>
  <si>
    <t>Внешнее отключение от СО</t>
  </si>
  <si>
    <t>ДТО Сраб</t>
  </si>
  <si>
    <t>ДТЗт Сраб</t>
  </si>
  <si>
    <t>ГЗоткл Сраб</t>
  </si>
  <si>
    <t>ГЗсигн Сраб</t>
  </si>
  <si>
    <t>ГЗ РПН Сраб</t>
  </si>
  <si>
    <t>ЛО ДТм Сраб</t>
  </si>
  <si>
    <t>ЛО ДТо Сраб</t>
  </si>
  <si>
    <t>ЛО РД Сраб</t>
  </si>
  <si>
    <t>ЛО ПК Сраб</t>
  </si>
  <si>
    <t>ЛО ОК Сраб</t>
  </si>
  <si>
    <t>ЗПО Сраб</t>
  </si>
  <si>
    <t>Внеш. откл. от СО</t>
  </si>
  <si>
    <t>Оперативный вывод функции ЛО Т</t>
  </si>
  <si>
    <t>ОВ ЛО Т</t>
  </si>
  <si>
    <t>OpINSPDIF</t>
  </si>
  <si>
    <t>OpRESPDIF</t>
  </si>
  <si>
    <t>OpTTRGASLGC</t>
  </si>
  <si>
    <t>OpTALMGASLGC</t>
  </si>
  <si>
    <t>OpTLTCGASLGC</t>
  </si>
  <si>
    <t>TripOILPTRC</t>
  </si>
  <si>
    <t>TripWINPTRC</t>
  </si>
  <si>
    <t>TripVLVPTRC</t>
  </si>
  <si>
    <t>OpPRVLVPTRC</t>
  </si>
  <si>
    <t>OpSHVLVPTRC</t>
  </si>
  <si>
    <t>OpLEVPTRC</t>
  </si>
  <si>
    <t>OpEQPALC</t>
  </si>
  <si>
    <t>ExtCoolTrip</t>
  </si>
  <si>
    <t>TPRMOFFLVLGC_operOutFunction</t>
  </si>
  <si>
    <t>PTRC1_operOutLevel</t>
  </si>
  <si>
    <t>RBRE1_operOutLevel</t>
  </si>
  <si>
    <t>PTRC1_FuncEnabled</t>
  </si>
  <si>
    <t>PTRC1_FuncOperDisabled</t>
  </si>
  <si>
    <t>PTRC1_Op</t>
  </si>
  <si>
    <t>Запрет АПВ</t>
  </si>
  <si>
    <t>RBRE1_FuncEnabled</t>
  </si>
  <si>
    <t>RBRE1_FuncOperDisabled</t>
  </si>
  <si>
    <t>RBRE1_BlkOp</t>
  </si>
  <si>
    <t>Индикация поведения логического узла ЛО</t>
  </si>
  <si>
    <t>Индикация исправности логического узла ЛО</t>
  </si>
  <si>
    <t>Индикация поведения логического узла ЗАПВ</t>
  </si>
  <si>
    <t>Индикация исправности логического узла ЗАПВ</t>
  </si>
  <si>
    <t>PTRC1_Beh</t>
  </si>
  <si>
    <t>PTRC1_Health</t>
  </si>
  <si>
    <t>RBRE1_Beh</t>
  </si>
  <si>
    <t>RBRE1_Health</t>
  </si>
  <si>
    <t>TJNTPTRC</t>
  </si>
  <si>
    <t>JNTRBRE</t>
  </si>
  <si>
    <t>PTRC1.Op</t>
  </si>
  <si>
    <t>PTRC1.Beh</t>
  </si>
  <si>
    <t>PTRC1.Health</t>
  </si>
  <si>
    <t>RBRE1.Beh</t>
  </si>
  <si>
    <t>RBRE1.Health</t>
  </si>
  <si>
    <t>RBRE1.BlkOp</t>
  </si>
  <si>
    <t>SPS</t>
  </si>
  <si>
    <t>Ввод функции в работу</t>
  </si>
  <si>
    <t>PTRC1_EnaDis</t>
  </si>
  <si>
    <t>RBRE1_EnaDis</t>
  </si>
  <si>
    <t>ЛО</t>
  </si>
  <si>
    <t>ЗАПВ</t>
  </si>
  <si>
    <t>Срабатывание ЛО ДТо</t>
  </si>
  <si>
    <t>Оперативный вывод ЛО Т / ЛО</t>
  </si>
  <si>
    <t>Оперативный вывод ЛО Т / ЗАПВ</t>
  </si>
  <si>
    <t>ОВ ЛО Т / ЛО</t>
  </si>
  <si>
    <t>ОВ ЛО Т / ЗАПВ</t>
  </si>
  <si>
    <t>Срабатывание ЛО ДУм расширителя</t>
  </si>
  <si>
    <t>ЛО ДУм расш Сраб</t>
  </si>
  <si>
    <t>FbVersion</t>
  </si>
  <si>
    <t>Срабатывание ЗП ВН на отключение</t>
  </si>
  <si>
    <t>ЗП ВН Сраб на откл</t>
  </si>
  <si>
    <t>OpOnTripHVOVCPTOC</t>
  </si>
  <si>
    <t>Срабатывание ЗП НН1 на отключение</t>
  </si>
  <si>
    <t>ЗП НН1 Сраб на откл</t>
  </si>
  <si>
    <t>OpOnTripLV1OVCPTOC</t>
  </si>
  <si>
    <t>Срабатывание ЗП НН2 на отключение</t>
  </si>
  <si>
    <t>ЗП НН2 Сраб на откл</t>
  </si>
  <si>
    <t>OpOnTripLV2OVCPTOC</t>
  </si>
  <si>
    <t>input</t>
  </si>
  <si>
    <t>control</t>
  </si>
  <si>
    <t>Logger</t>
  </si>
  <si>
    <t>Disturber</t>
  </si>
  <si>
    <t>StartDisturber</t>
  </si>
  <si>
    <t>status</t>
  </si>
  <si>
    <t>DescriptionFB</t>
  </si>
  <si>
    <t>DescriptionFuncList</t>
  </si>
  <si>
    <t>Логика отключения</t>
  </si>
  <si>
    <t>Логика отключения трансформатора</t>
  </si>
  <si>
    <t>Логика запрета АПВ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</si>
</sst>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9" fillId="0" borderId="0" xfId="0" applyFont="1"/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left"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 wrapText="1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2" fillId="0" borderId="0" xfId="0" applyFont="1" applyFill="1"/>
    <xf numFmtId="0" fontId="9" fillId="0" borderId="2" xfId="0" applyFont="1" applyBorder="1"/>
    <xf numFmtId="0" fontId="9" fillId="5" borderId="2" xfId="0" applyFont="1" applyFill="1" applyBorder="1"/>
    <xf numFmtId="0" fontId="2" fillId="5" borderId="0" xfId="0" applyFont="1" applyFill="1"/>
    <xf numFmtId="0" fontId="9" fillId="0" borderId="2" xfId="0" applyFont="1" applyFill="1" applyBorder="1"/>
    <xf numFmtId="0" fontId="9" fillId="6" borderId="2" xfId="0" applyFont="1" applyFill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0" applyFont="1" applyFill="1"/>
    <xf numFmtId="0" fontId="3" fillId="7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vertical="center"/>
    </xf>
    <xf numFmtId="0" fontId="4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/>
    </xf>
    <xf numFmtId="0" fontId="2" fillId="8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6"/>
  <sheetViews>
    <sheetView topLeftCell="AK1" zoomScale="80" zoomScaleNormal="80" workbookViewId="0">
      <selection activeCell="AW3" sqref="AW3:AX2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54.42578125" style="2" customWidth="1"/>
    <col min="6" max="7" width="21" style="2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32.8554687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9" hidden="1" customWidth="1" outlineLevel="1"/>
    <col min="55" max="55" width="13.28515625" style="4" hidden="1" customWidth="1" outlineLevel="1"/>
    <col min="56" max="56" width="13" style="1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SUM(AA23:AA63)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109" t="s">
        <v>0</v>
      </c>
      <c r="BA1" s="110"/>
      <c r="BB1" s="110"/>
      <c r="BC1" s="110"/>
      <c r="BD1" s="110"/>
      <c r="BE1" s="110"/>
      <c r="BF1" s="110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10" t="s">
        <v>7</v>
      </c>
      <c r="I2" s="10" t="s">
        <v>8</v>
      </c>
      <c r="J2" s="10" t="s">
        <v>104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102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74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98</v>
      </c>
      <c r="AC2" s="15" t="s">
        <v>99</v>
      </c>
      <c r="AD2" s="15" t="s">
        <v>100</v>
      </c>
      <c r="AE2" s="15" t="s">
        <v>101</v>
      </c>
      <c r="AF2" s="15" t="s">
        <v>24</v>
      </c>
      <c r="AG2" s="15" t="s">
        <v>25</v>
      </c>
      <c r="AH2" s="14" t="s">
        <v>26</v>
      </c>
      <c r="AI2" s="25" t="s">
        <v>97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106" t="s">
        <v>209</v>
      </c>
      <c r="AW2" s="106" t="s">
        <v>210</v>
      </c>
      <c r="AX2" s="106" t="s">
        <v>211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94" customFormat="1" ht="15.75" x14ac:dyDescent="0.25">
      <c r="A3" s="26"/>
      <c r="B3" s="26" t="s">
        <v>50</v>
      </c>
      <c r="C3" s="27"/>
      <c r="D3" s="28"/>
      <c r="E3" s="29" t="s">
        <v>121</v>
      </c>
      <c r="F3" s="40" t="s">
        <v>131</v>
      </c>
      <c r="G3" s="40" t="s">
        <v>131</v>
      </c>
      <c r="H3" s="29"/>
      <c r="I3" s="29">
        <f t="shared" ref="I3:I16" si="0">LEN(F3)</f>
        <v>8</v>
      </c>
      <c r="J3" s="29" t="str">
        <f t="shared" ref="J3:J16" si="1">IF(LEN(F3)&lt;=$J$1,F3,"")</f>
        <v>ДТО Сраб</v>
      </c>
      <c r="K3" s="26" t="s">
        <v>145</v>
      </c>
      <c r="L3" s="30" t="s">
        <v>54</v>
      </c>
      <c r="M3" s="27" t="s">
        <v>51</v>
      </c>
      <c r="N3" s="27" t="s">
        <v>52</v>
      </c>
      <c r="O3" s="27"/>
      <c r="P3" s="31"/>
      <c r="Q3" s="31"/>
      <c r="R3" s="27" t="s">
        <v>53</v>
      </c>
      <c r="S3" s="27" t="s">
        <v>53</v>
      </c>
      <c r="T3" s="27" t="s">
        <v>53</v>
      </c>
      <c r="U3" s="27" t="s">
        <v>53</v>
      </c>
      <c r="V3" s="27"/>
      <c r="W3" s="27"/>
      <c r="X3" s="27" t="s">
        <v>53</v>
      </c>
      <c r="Y3" s="27">
        <v>0</v>
      </c>
      <c r="Z3" s="32"/>
      <c r="AA3" s="39">
        <v>0</v>
      </c>
      <c r="AB3" s="39"/>
      <c r="AC3" s="39"/>
      <c r="AD3" s="39"/>
      <c r="AE3" s="39"/>
      <c r="AF3" s="39">
        <v>0</v>
      </c>
      <c r="AG3" s="39">
        <v>0</v>
      </c>
      <c r="AH3" s="39">
        <v>0</v>
      </c>
      <c r="AI3" s="48"/>
      <c r="AJ3" s="33"/>
      <c r="AK3" s="33"/>
      <c r="AL3" s="33"/>
      <c r="AM3" s="33"/>
      <c r="AN3" s="33"/>
      <c r="AO3" s="33"/>
      <c r="AP3" s="33"/>
      <c r="AQ3" s="33"/>
      <c r="AR3" s="39">
        <v>0</v>
      </c>
      <c r="AS3" s="39">
        <v>0</v>
      </c>
      <c r="AT3" s="39">
        <v>0</v>
      </c>
      <c r="AU3" s="39">
        <v>0</v>
      </c>
      <c r="AV3" s="39">
        <f t="shared" ref="AV3:AV16" si="2">BIN2DEC(CONCATENATE(0,0,0,0,AR3,AS3,AT3,AU3))</f>
        <v>0</v>
      </c>
      <c r="AW3" s="39">
        <v>0</v>
      </c>
      <c r="AX3" s="39">
        <f t="shared" ref="AX3:AX25" si="3">BIN2DEC(CONCATENATE(0,0,0,0,AT3,AU3,AV3,AW3))</f>
        <v>0</v>
      </c>
      <c r="AY3" s="39"/>
      <c r="AZ3" s="31"/>
      <c r="BA3" s="39"/>
      <c r="BB3" s="39"/>
      <c r="BC3" s="34"/>
      <c r="BD3" s="39"/>
      <c r="BE3" s="35"/>
      <c r="BF3" s="39"/>
      <c r="BG3" s="36" t="str">
        <f t="shared" ref="BG3:BG16" si="4">CONCATENATE("description: """,F3,"""", ", ", "note: """,E3,"""",", ","group: """, B3, """",", ","minValue: ", S3,", ","maxValue: ", T3,", ","step: ", U3,", ","units: """, R3, """",", ","defaultValue: ", X3,", ","eventRegistration: ", Y3,)</f>
        <v>description: "ДТО Сраб", note: "Срабатывание ДТО", group: "measurement", minValue: null, maxValue: null, step: null, units: "null", defaultValue: null, eventRegistration: 0</v>
      </c>
      <c r="BH3" s="37"/>
    </row>
    <row r="4" spans="1:16379" s="94" customFormat="1" ht="15.75" x14ac:dyDescent="0.25">
      <c r="A4" s="26"/>
      <c r="B4" s="26" t="s">
        <v>50</v>
      </c>
      <c r="C4" s="27"/>
      <c r="D4" s="28"/>
      <c r="E4" s="29" t="s">
        <v>122</v>
      </c>
      <c r="F4" s="40" t="s">
        <v>132</v>
      </c>
      <c r="G4" s="40" t="s">
        <v>132</v>
      </c>
      <c r="H4" s="29"/>
      <c r="I4" s="29">
        <f t="shared" si="0"/>
        <v>9</v>
      </c>
      <c r="J4" s="29" t="str">
        <f t="shared" si="1"/>
        <v>ДТЗт Сраб</v>
      </c>
      <c r="K4" s="26" t="s">
        <v>146</v>
      </c>
      <c r="L4" s="30" t="s">
        <v>54</v>
      </c>
      <c r="M4" s="27" t="s">
        <v>51</v>
      </c>
      <c r="N4" s="27" t="s">
        <v>52</v>
      </c>
      <c r="O4" s="27"/>
      <c r="P4" s="31"/>
      <c r="Q4" s="31"/>
      <c r="R4" s="27" t="s">
        <v>53</v>
      </c>
      <c r="S4" s="27" t="s">
        <v>53</v>
      </c>
      <c r="T4" s="27" t="s">
        <v>53</v>
      </c>
      <c r="U4" s="27" t="s">
        <v>53</v>
      </c>
      <c r="V4" s="27"/>
      <c r="W4" s="27"/>
      <c r="X4" s="27" t="s">
        <v>53</v>
      </c>
      <c r="Y4" s="27">
        <v>0</v>
      </c>
      <c r="Z4" s="32"/>
      <c r="AA4" s="39">
        <v>0</v>
      </c>
      <c r="AB4" s="39"/>
      <c r="AC4" s="39"/>
      <c r="AD4" s="39"/>
      <c r="AE4" s="39"/>
      <c r="AF4" s="39">
        <v>0</v>
      </c>
      <c r="AG4" s="39">
        <v>0</v>
      </c>
      <c r="AH4" s="39">
        <v>0</v>
      </c>
      <c r="AI4" s="48"/>
      <c r="AJ4" s="33"/>
      <c r="AK4" s="33"/>
      <c r="AL4" s="33"/>
      <c r="AM4" s="33"/>
      <c r="AN4" s="33"/>
      <c r="AO4" s="33"/>
      <c r="AP4" s="33"/>
      <c r="AQ4" s="33"/>
      <c r="AR4" s="39">
        <v>0</v>
      </c>
      <c r="AS4" s="39">
        <v>0</v>
      </c>
      <c r="AT4" s="39">
        <v>0</v>
      </c>
      <c r="AU4" s="39">
        <v>0</v>
      </c>
      <c r="AV4" s="39">
        <f t="shared" si="2"/>
        <v>0</v>
      </c>
      <c r="AW4" s="39">
        <v>0</v>
      </c>
      <c r="AX4" s="39">
        <f t="shared" si="3"/>
        <v>0</v>
      </c>
      <c r="AY4" s="39"/>
      <c r="AZ4" s="31"/>
      <c r="BA4" s="39"/>
      <c r="BB4" s="39"/>
      <c r="BC4" s="34"/>
      <c r="BD4" s="39"/>
      <c r="BE4" s="35"/>
      <c r="BF4" s="39"/>
      <c r="BG4" s="36" t="str">
        <f t="shared" si="4"/>
        <v>description: "ДТЗт Сраб", note: "Срабатывание ДТЗт", group: "measurement", minValue: null, maxValue: null, step: null, units: "null", defaultValue: null, eventRegistration: 0</v>
      </c>
      <c r="BH4" s="37"/>
    </row>
    <row r="5" spans="1:16379" s="94" customFormat="1" ht="15.75" x14ac:dyDescent="0.25">
      <c r="A5" s="26"/>
      <c r="B5" s="26" t="s">
        <v>50</v>
      </c>
      <c r="C5" s="27"/>
      <c r="D5" s="28"/>
      <c r="E5" s="29" t="s">
        <v>123</v>
      </c>
      <c r="F5" s="40" t="s">
        <v>133</v>
      </c>
      <c r="G5" s="40" t="s">
        <v>133</v>
      </c>
      <c r="H5" s="29"/>
      <c r="I5" s="29">
        <f t="shared" si="0"/>
        <v>11</v>
      </c>
      <c r="J5" s="29" t="str">
        <f t="shared" si="1"/>
        <v>ГЗоткл Сраб</v>
      </c>
      <c r="K5" s="26" t="s">
        <v>147</v>
      </c>
      <c r="L5" s="30" t="s">
        <v>54</v>
      </c>
      <c r="M5" s="27" t="s">
        <v>51</v>
      </c>
      <c r="N5" s="27" t="s">
        <v>52</v>
      </c>
      <c r="O5" s="27"/>
      <c r="P5" s="31"/>
      <c r="Q5" s="31"/>
      <c r="R5" s="27" t="s">
        <v>53</v>
      </c>
      <c r="S5" s="27" t="s">
        <v>53</v>
      </c>
      <c r="T5" s="27" t="s">
        <v>53</v>
      </c>
      <c r="U5" s="27" t="s">
        <v>53</v>
      </c>
      <c r="V5" s="27"/>
      <c r="W5" s="27"/>
      <c r="X5" s="27" t="s">
        <v>53</v>
      </c>
      <c r="Y5" s="27">
        <v>0</v>
      </c>
      <c r="Z5" s="32"/>
      <c r="AA5" s="39">
        <v>0</v>
      </c>
      <c r="AB5" s="39"/>
      <c r="AC5" s="39"/>
      <c r="AD5" s="39"/>
      <c r="AE5" s="39"/>
      <c r="AF5" s="39">
        <v>0</v>
      </c>
      <c r="AG5" s="39">
        <v>0</v>
      </c>
      <c r="AH5" s="39">
        <v>0</v>
      </c>
      <c r="AI5" s="48"/>
      <c r="AJ5" s="33"/>
      <c r="AK5" s="33"/>
      <c r="AL5" s="33"/>
      <c r="AM5" s="33"/>
      <c r="AN5" s="33"/>
      <c r="AO5" s="33"/>
      <c r="AP5" s="33"/>
      <c r="AQ5" s="33"/>
      <c r="AR5" s="39">
        <v>0</v>
      </c>
      <c r="AS5" s="39">
        <v>0</v>
      </c>
      <c r="AT5" s="39">
        <v>0</v>
      </c>
      <c r="AU5" s="39">
        <v>0</v>
      </c>
      <c r="AV5" s="39">
        <f t="shared" si="2"/>
        <v>0</v>
      </c>
      <c r="AW5" s="39">
        <v>0</v>
      </c>
      <c r="AX5" s="39">
        <f t="shared" si="3"/>
        <v>0</v>
      </c>
      <c r="AY5" s="39"/>
      <c r="AZ5" s="31"/>
      <c r="BA5" s="39"/>
      <c r="BB5" s="39"/>
      <c r="BC5" s="34"/>
      <c r="BD5" s="39"/>
      <c r="BE5" s="35"/>
      <c r="BF5" s="39"/>
      <c r="BG5" s="36" t="str">
        <f t="shared" si="4"/>
        <v>description: "ГЗоткл Сраб", note: "Срабатывание ЛО Гзоткл", group: "measurement", minValue: null, maxValue: null, step: null, units: "null", defaultValue: null, eventRegistration: 0</v>
      </c>
      <c r="BH5" s="37"/>
    </row>
    <row r="6" spans="1:16379" s="94" customFormat="1" ht="15.75" x14ac:dyDescent="0.25">
      <c r="A6" s="26"/>
      <c r="B6" s="26" t="s">
        <v>50</v>
      </c>
      <c r="C6" s="27"/>
      <c r="D6" s="28"/>
      <c r="E6" s="29" t="s">
        <v>124</v>
      </c>
      <c r="F6" s="40" t="s">
        <v>134</v>
      </c>
      <c r="G6" s="40" t="s">
        <v>134</v>
      </c>
      <c r="H6" s="29"/>
      <c r="I6" s="29">
        <f t="shared" si="0"/>
        <v>11</v>
      </c>
      <c r="J6" s="29" t="str">
        <f t="shared" si="1"/>
        <v>ГЗсигн Сраб</v>
      </c>
      <c r="K6" s="26" t="s">
        <v>148</v>
      </c>
      <c r="L6" s="30" t="s">
        <v>54</v>
      </c>
      <c r="M6" s="27" t="s">
        <v>51</v>
      </c>
      <c r="N6" s="27" t="s">
        <v>52</v>
      </c>
      <c r="O6" s="27"/>
      <c r="P6" s="31"/>
      <c r="Q6" s="31"/>
      <c r="R6" s="27" t="s">
        <v>53</v>
      </c>
      <c r="S6" s="27" t="s">
        <v>53</v>
      </c>
      <c r="T6" s="27" t="s">
        <v>53</v>
      </c>
      <c r="U6" s="27" t="s">
        <v>53</v>
      </c>
      <c r="V6" s="27"/>
      <c r="W6" s="27"/>
      <c r="X6" s="27" t="s">
        <v>53</v>
      </c>
      <c r="Y6" s="27">
        <v>0</v>
      </c>
      <c r="Z6" s="32"/>
      <c r="AA6" s="39">
        <v>0</v>
      </c>
      <c r="AB6" s="39"/>
      <c r="AC6" s="39"/>
      <c r="AD6" s="39"/>
      <c r="AE6" s="39"/>
      <c r="AF6" s="39">
        <v>0</v>
      </c>
      <c r="AG6" s="39">
        <v>0</v>
      </c>
      <c r="AH6" s="39">
        <v>0</v>
      </c>
      <c r="AI6" s="48"/>
      <c r="AJ6" s="33"/>
      <c r="AK6" s="33"/>
      <c r="AL6" s="33"/>
      <c r="AM6" s="33"/>
      <c r="AN6" s="33"/>
      <c r="AO6" s="33"/>
      <c r="AP6" s="33"/>
      <c r="AQ6" s="33"/>
      <c r="AR6" s="39">
        <v>0</v>
      </c>
      <c r="AS6" s="39">
        <v>0</v>
      </c>
      <c r="AT6" s="39">
        <v>0</v>
      </c>
      <c r="AU6" s="39">
        <v>0</v>
      </c>
      <c r="AV6" s="39">
        <f t="shared" si="2"/>
        <v>0</v>
      </c>
      <c r="AW6" s="39">
        <v>0</v>
      </c>
      <c r="AX6" s="39">
        <f t="shared" si="3"/>
        <v>0</v>
      </c>
      <c r="AY6" s="39"/>
      <c r="AZ6" s="31"/>
      <c r="BA6" s="39"/>
      <c r="BB6" s="39"/>
      <c r="BC6" s="34"/>
      <c r="BD6" s="39"/>
      <c r="BE6" s="35"/>
      <c r="BF6" s="39"/>
      <c r="BG6" s="36" t="str">
        <f t="shared" si="4"/>
        <v>description: "ГЗсигн Сраб", note: "Срабатывание ЛО Гзсигн", group: "measurement", minValue: null, maxValue: null, step: null, units: "null", defaultValue: null, eventRegistration: 0</v>
      </c>
      <c r="BH6" s="37"/>
    </row>
    <row r="7" spans="1:16379" s="94" customFormat="1" ht="15.75" x14ac:dyDescent="0.25">
      <c r="A7" s="26"/>
      <c r="B7" s="26" t="s">
        <v>50</v>
      </c>
      <c r="C7" s="27"/>
      <c r="D7" s="28"/>
      <c r="E7" s="29" t="s">
        <v>125</v>
      </c>
      <c r="F7" s="40" t="s">
        <v>135</v>
      </c>
      <c r="G7" s="40" t="s">
        <v>135</v>
      </c>
      <c r="H7" s="29"/>
      <c r="I7" s="29">
        <f t="shared" si="0"/>
        <v>11</v>
      </c>
      <c r="J7" s="29" t="str">
        <f t="shared" si="1"/>
        <v>ГЗ РПН Сраб</v>
      </c>
      <c r="K7" s="26" t="s">
        <v>149</v>
      </c>
      <c r="L7" s="30" t="s">
        <v>54</v>
      </c>
      <c r="M7" s="27" t="s">
        <v>51</v>
      </c>
      <c r="N7" s="27" t="s">
        <v>52</v>
      </c>
      <c r="O7" s="27"/>
      <c r="P7" s="31"/>
      <c r="Q7" s="31"/>
      <c r="R7" s="27" t="s">
        <v>53</v>
      </c>
      <c r="S7" s="27" t="s">
        <v>53</v>
      </c>
      <c r="T7" s="27" t="s">
        <v>53</v>
      </c>
      <c r="U7" s="27" t="s">
        <v>53</v>
      </c>
      <c r="V7" s="27"/>
      <c r="W7" s="27"/>
      <c r="X7" s="27" t="s">
        <v>53</v>
      </c>
      <c r="Y7" s="27">
        <v>0</v>
      </c>
      <c r="Z7" s="32"/>
      <c r="AA7" s="39">
        <v>0</v>
      </c>
      <c r="AB7" s="39"/>
      <c r="AC7" s="39"/>
      <c r="AD7" s="39"/>
      <c r="AE7" s="39"/>
      <c r="AF7" s="39">
        <v>0</v>
      </c>
      <c r="AG7" s="39">
        <v>0</v>
      </c>
      <c r="AH7" s="39">
        <v>0</v>
      </c>
      <c r="AI7" s="48"/>
      <c r="AJ7" s="33"/>
      <c r="AK7" s="33"/>
      <c r="AL7" s="33"/>
      <c r="AM7" s="33"/>
      <c r="AN7" s="33"/>
      <c r="AO7" s="33"/>
      <c r="AP7" s="33"/>
      <c r="AQ7" s="33"/>
      <c r="AR7" s="39">
        <v>0</v>
      </c>
      <c r="AS7" s="39">
        <v>0</v>
      </c>
      <c r="AT7" s="39">
        <v>0</v>
      </c>
      <c r="AU7" s="39">
        <v>0</v>
      </c>
      <c r="AV7" s="39">
        <f t="shared" si="2"/>
        <v>0</v>
      </c>
      <c r="AW7" s="39">
        <v>0</v>
      </c>
      <c r="AX7" s="39">
        <f t="shared" si="3"/>
        <v>0</v>
      </c>
      <c r="AY7" s="39"/>
      <c r="AZ7" s="31"/>
      <c r="BA7" s="39"/>
      <c r="BB7" s="39"/>
      <c r="BC7" s="34"/>
      <c r="BD7" s="39"/>
      <c r="BE7" s="35"/>
      <c r="BF7" s="39"/>
      <c r="BG7" s="36" t="str">
        <f t="shared" si="4"/>
        <v>description: "ГЗ РПН Сраб", note: "Срабатывание ЛО ГЗ РПН", group: "measurement", minValue: null, maxValue: null, step: null, units: "null", defaultValue: null, eventRegistration: 0</v>
      </c>
      <c r="BH7" s="37"/>
    </row>
    <row r="8" spans="1:16379" s="94" customFormat="1" ht="15.75" x14ac:dyDescent="0.25">
      <c r="A8" s="26"/>
      <c r="B8" s="26" t="s">
        <v>50</v>
      </c>
      <c r="C8" s="27"/>
      <c r="D8" s="28"/>
      <c r="E8" s="29" t="s">
        <v>126</v>
      </c>
      <c r="F8" s="40" t="s">
        <v>136</v>
      </c>
      <c r="G8" s="40" t="s">
        <v>136</v>
      </c>
      <c r="H8" s="29"/>
      <c r="I8" s="29">
        <f t="shared" si="0"/>
        <v>11</v>
      </c>
      <c r="J8" s="29" t="str">
        <f t="shared" si="1"/>
        <v>ЛО ДТм Сраб</v>
      </c>
      <c r="K8" s="26" t="s">
        <v>150</v>
      </c>
      <c r="L8" s="30" t="s">
        <v>54</v>
      </c>
      <c r="M8" s="27" t="s">
        <v>51</v>
      </c>
      <c r="N8" s="27" t="s">
        <v>52</v>
      </c>
      <c r="O8" s="27"/>
      <c r="P8" s="31"/>
      <c r="Q8" s="31"/>
      <c r="R8" s="27" t="s">
        <v>53</v>
      </c>
      <c r="S8" s="27" t="s">
        <v>53</v>
      </c>
      <c r="T8" s="27" t="s">
        <v>53</v>
      </c>
      <c r="U8" s="27" t="s">
        <v>53</v>
      </c>
      <c r="V8" s="27"/>
      <c r="W8" s="27"/>
      <c r="X8" s="27" t="s">
        <v>53</v>
      </c>
      <c r="Y8" s="27">
        <v>0</v>
      </c>
      <c r="Z8" s="32"/>
      <c r="AA8" s="39">
        <v>0</v>
      </c>
      <c r="AB8" s="39"/>
      <c r="AC8" s="39"/>
      <c r="AD8" s="39"/>
      <c r="AE8" s="39"/>
      <c r="AF8" s="39">
        <v>0</v>
      </c>
      <c r="AG8" s="39">
        <v>0</v>
      </c>
      <c r="AH8" s="39">
        <v>0</v>
      </c>
      <c r="AI8" s="48"/>
      <c r="AJ8" s="33"/>
      <c r="AK8" s="33"/>
      <c r="AL8" s="33"/>
      <c r="AM8" s="33"/>
      <c r="AN8" s="33"/>
      <c r="AO8" s="33"/>
      <c r="AP8" s="33"/>
      <c r="AQ8" s="33"/>
      <c r="AR8" s="39">
        <v>0</v>
      </c>
      <c r="AS8" s="39">
        <v>0</v>
      </c>
      <c r="AT8" s="39">
        <v>0</v>
      </c>
      <c r="AU8" s="39">
        <v>0</v>
      </c>
      <c r="AV8" s="39">
        <f t="shared" si="2"/>
        <v>0</v>
      </c>
      <c r="AW8" s="39">
        <v>0</v>
      </c>
      <c r="AX8" s="39">
        <f t="shared" si="3"/>
        <v>0</v>
      </c>
      <c r="AY8" s="39"/>
      <c r="AZ8" s="31"/>
      <c r="BA8" s="39"/>
      <c r="BB8" s="39"/>
      <c r="BC8" s="34"/>
      <c r="BD8" s="39"/>
      <c r="BE8" s="35"/>
      <c r="BF8" s="39"/>
      <c r="BG8" s="36" t="str">
        <f t="shared" si="4"/>
        <v>description: "ЛО ДТм Сраб", note: "Срабатывание ЛО ДТм", group: "measurement", minValue: null, maxValue: null, step: null, units: "null", defaultValue: null, eventRegistration: 0</v>
      </c>
      <c r="BH8" s="37"/>
    </row>
    <row r="9" spans="1:16379" s="94" customFormat="1" ht="15.75" x14ac:dyDescent="0.25">
      <c r="A9" s="26"/>
      <c r="B9" s="26" t="s">
        <v>50</v>
      </c>
      <c r="C9" s="27"/>
      <c r="D9" s="28"/>
      <c r="E9" s="29" t="s">
        <v>190</v>
      </c>
      <c r="F9" s="40" t="s">
        <v>137</v>
      </c>
      <c r="G9" s="40" t="s">
        <v>137</v>
      </c>
      <c r="H9" s="29"/>
      <c r="I9" s="29">
        <f t="shared" si="0"/>
        <v>11</v>
      </c>
      <c r="J9" s="29" t="str">
        <f t="shared" si="1"/>
        <v>ЛО ДТо Сраб</v>
      </c>
      <c r="K9" s="26" t="s">
        <v>151</v>
      </c>
      <c r="L9" s="30" t="s">
        <v>54</v>
      </c>
      <c r="M9" s="27" t="s">
        <v>51</v>
      </c>
      <c r="N9" s="27" t="s">
        <v>52</v>
      </c>
      <c r="O9" s="27"/>
      <c r="P9" s="31"/>
      <c r="Q9" s="31"/>
      <c r="R9" s="27" t="s">
        <v>53</v>
      </c>
      <c r="S9" s="27" t="s">
        <v>53</v>
      </c>
      <c r="T9" s="27" t="s">
        <v>53</v>
      </c>
      <c r="U9" s="27" t="s">
        <v>53</v>
      </c>
      <c r="V9" s="27"/>
      <c r="W9" s="27"/>
      <c r="X9" s="27" t="s">
        <v>53</v>
      </c>
      <c r="Y9" s="27">
        <v>0</v>
      </c>
      <c r="Z9" s="32"/>
      <c r="AA9" s="39">
        <v>0</v>
      </c>
      <c r="AB9" s="39"/>
      <c r="AC9" s="39"/>
      <c r="AD9" s="39"/>
      <c r="AE9" s="39"/>
      <c r="AF9" s="39">
        <v>0</v>
      </c>
      <c r="AG9" s="39">
        <v>0</v>
      </c>
      <c r="AH9" s="39">
        <v>0</v>
      </c>
      <c r="AI9" s="48"/>
      <c r="AJ9" s="33"/>
      <c r="AK9" s="33"/>
      <c r="AL9" s="33"/>
      <c r="AM9" s="33"/>
      <c r="AN9" s="33"/>
      <c r="AO9" s="33"/>
      <c r="AP9" s="33"/>
      <c r="AQ9" s="33"/>
      <c r="AR9" s="39">
        <v>0</v>
      </c>
      <c r="AS9" s="39">
        <v>0</v>
      </c>
      <c r="AT9" s="39">
        <v>0</v>
      </c>
      <c r="AU9" s="39">
        <v>0</v>
      </c>
      <c r="AV9" s="39">
        <f t="shared" si="2"/>
        <v>0</v>
      </c>
      <c r="AW9" s="39">
        <v>0</v>
      </c>
      <c r="AX9" s="39">
        <f t="shared" si="3"/>
        <v>0</v>
      </c>
      <c r="AY9" s="39"/>
      <c r="AZ9" s="31"/>
      <c r="BA9" s="39"/>
      <c r="BB9" s="39"/>
      <c r="BC9" s="34"/>
      <c r="BD9" s="39"/>
      <c r="BE9" s="35"/>
      <c r="BF9" s="39"/>
      <c r="BG9" s="36" t="str">
        <f t="shared" si="4"/>
        <v>description: "ЛО ДТо Сраб", note: "Срабатывание ЛО ДТо", group: "measurement", minValue: null, maxValue: null, step: null, units: "null", defaultValue: null, eventRegistration: 0</v>
      </c>
      <c r="BH9" s="37"/>
    </row>
    <row r="10" spans="1:16379" s="94" customFormat="1" ht="15.75" x14ac:dyDescent="0.25">
      <c r="A10" s="26"/>
      <c r="B10" s="26" t="s">
        <v>50</v>
      </c>
      <c r="C10" s="27"/>
      <c r="D10" s="28"/>
      <c r="E10" s="29" t="s">
        <v>127</v>
      </c>
      <c r="F10" s="40" t="s">
        <v>138</v>
      </c>
      <c r="G10" s="40" t="s">
        <v>138</v>
      </c>
      <c r="H10" s="29"/>
      <c r="I10" s="29">
        <f t="shared" si="0"/>
        <v>10</v>
      </c>
      <c r="J10" s="29" t="str">
        <f t="shared" si="1"/>
        <v>ЛО РД Сраб</v>
      </c>
      <c r="K10" s="49" t="s">
        <v>152</v>
      </c>
      <c r="L10" s="30" t="s">
        <v>54</v>
      </c>
      <c r="M10" s="27" t="s">
        <v>51</v>
      </c>
      <c r="N10" s="27" t="s">
        <v>52</v>
      </c>
      <c r="O10" s="27"/>
      <c r="P10" s="31"/>
      <c r="Q10" s="31"/>
      <c r="R10" s="27" t="s">
        <v>53</v>
      </c>
      <c r="S10" s="27" t="s">
        <v>53</v>
      </c>
      <c r="T10" s="27" t="s">
        <v>53</v>
      </c>
      <c r="U10" s="27" t="s">
        <v>53</v>
      </c>
      <c r="V10" s="27"/>
      <c r="W10" s="27"/>
      <c r="X10" s="27" t="s">
        <v>53</v>
      </c>
      <c r="Y10" s="27">
        <v>0</v>
      </c>
      <c r="Z10" s="32"/>
      <c r="AA10" s="39">
        <v>0</v>
      </c>
      <c r="AB10" s="39"/>
      <c r="AC10" s="39"/>
      <c r="AD10" s="39"/>
      <c r="AE10" s="39"/>
      <c r="AF10" s="39">
        <v>0</v>
      </c>
      <c r="AG10" s="39">
        <v>0</v>
      </c>
      <c r="AH10" s="39">
        <v>0</v>
      </c>
      <c r="AI10" s="48"/>
      <c r="AJ10" s="33"/>
      <c r="AK10" s="33"/>
      <c r="AL10" s="33"/>
      <c r="AM10" s="33"/>
      <c r="AN10" s="33"/>
      <c r="AO10" s="33"/>
      <c r="AP10" s="33"/>
      <c r="AQ10" s="33"/>
      <c r="AR10" s="39">
        <v>0</v>
      </c>
      <c r="AS10" s="39">
        <v>0</v>
      </c>
      <c r="AT10" s="39">
        <v>0</v>
      </c>
      <c r="AU10" s="39">
        <v>0</v>
      </c>
      <c r="AV10" s="39">
        <f t="shared" si="2"/>
        <v>0</v>
      </c>
      <c r="AW10" s="39">
        <v>0</v>
      </c>
      <c r="AX10" s="39">
        <f t="shared" si="3"/>
        <v>0</v>
      </c>
      <c r="AY10" s="39"/>
      <c r="AZ10" s="31"/>
      <c r="BA10" s="39"/>
      <c r="BB10" s="39"/>
      <c r="BC10" s="34"/>
      <c r="BD10" s="39"/>
      <c r="BE10" s="35"/>
      <c r="BF10" s="39"/>
      <c r="BG10" s="36" t="str">
        <f t="shared" si="4"/>
        <v>description: "ЛО РД Сраб", note: "Срабатывание ЛО РД", group: "measurement", minValue: null, maxValue: null, step: null, units: "null", defaultValue: null, eventRegistration: 0</v>
      </c>
      <c r="BH10" s="37"/>
    </row>
    <row r="11" spans="1:16379" s="94" customFormat="1" ht="15.75" x14ac:dyDescent="0.25">
      <c r="A11" s="26"/>
      <c r="B11" s="26" t="s">
        <v>50</v>
      </c>
      <c r="C11" s="27"/>
      <c r="D11" s="28"/>
      <c r="E11" s="29" t="s">
        <v>128</v>
      </c>
      <c r="F11" s="40" t="s">
        <v>139</v>
      </c>
      <c r="G11" s="40" t="s">
        <v>139</v>
      </c>
      <c r="H11" s="29"/>
      <c r="I11" s="29">
        <f t="shared" si="0"/>
        <v>10</v>
      </c>
      <c r="J11" s="29" t="str">
        <f t="shared" si="1"/>
        <v>ЛО ПК Сраб</v>
      </c>
      <c r="K11" s="26" t="s">
        <v>153</v>
      </c>
      <c r="L11" s="30" t="s">
        <v>54</v>
      </c>
      <c r="M11" s="27" t="s">
        <v>51</v>
      </c>
      <c r="N11" s="27" t="s">
        <v>52</v>
      </c>
      <c r="O11" s="27"/>
      <c r="P11" s="31"/>
      <c r="Q11" s="31"/>
      <c r="R11" s="27" t="s">
        <v>53</v>
      </c>
      <c r="S11" s="27" t="s">
        <v>53</v>
      </c>
      <c r="T11" s="27" t="s">
        <v>53</v>
      </c>
      <c r="U11" s="27" t="s">
        <v>53</v>
      </c>
      <c r="V11" s="27"/>
      <c r="W11" s="27"/>
      <c r="X11" s="27" t="s">
        <v>53</v>
      </c>
      <c r="Y11" s="27">
        <v>0</v>
      </c>
      <c r="Z11" s="32"/>
      <c r="AA11" s="39">
        <v>0</v>
      </c>
      <c r="AB11" s="39"/>
      <c r="AC11" s="39"/>
      <c r="AD11" s="39"/>
      <c r="AE11" s="39"/>
      <c r="AF11" s="39">
        <v>0</v>
      </c>
      <c r="AG11" s="39">
        <v>0</v>
      </c>
      <c r="AH11" s="39">
        <v>0</v>
      </c>
      <c r="AI11" s="48"/>
      <c r="AJ11" s="33"/>
      <c r="AK11" s="33"/>
      <c r="AL11" s="33"/>
      <c r="AM11" s="33"/>
      <c r="AN11" s="33"/>
      <c r="AO11" s="33"/>
      <c r="AP11" s="33"/>
      <c r="AQ11" s="33"/>
      <c r="AR11" s="39">
        <v>0</v>
      </c>
      <c r="AS11" s="39">
        <v>0</v>
      </c>
      <c r="AT11" s="39">
        <v>0</v>
      </c>
      <c r="AU11" s="39">
        <v>0</v>
      </c>
      <c r="AV11" s="39">
        <f t="shared" si="2"/>
        <v>0</v>
      </c>
      <c r="AW11" s="39">
        <v>0</v>
      </c>
      <c r="AX11" s="39">
        <f t="shared" si="3"/>
        <v>0</v>
      </c>
      <c r="AY11" s="39"/>
      <c r="AZ11" s="31"/>
      <c r="BA11" s="39"/>
      <c r="BB11" s="39"/>
      <c r="BC11" s="34"/>
      <c r="BD11" s="39"/>
      <c r="BE11" s="35"/>
      <c r="BF11" s="39"/>
      <c r="BG11" s="36" t="str">
        <f t="shared" si="4"/>
        <v>description: "ЛО ПК Сраб", note: "Срабатывание ЛО ПК", group: "measurement", minValue: null, maxValue: null, step: null, units: "null", defaultValue: null, eventRegistration: 0</v>
      </c>
      <c r="BH11" s="37"/>
    </row>
    <row r="12" spans="1:16379" s="94" customFormat="1" ht="15.75" x14ac:dyDescent="0.25">
      <c r="A12" s="26"/>
      <c r="B12" s="26" t="s">
        <v>50</v>
      </c>
      <c r="C12" s="27"/>
      <c r="D12" s="28"/>
      <c r="E12" s="29" t="s">
        <v>129</v>
      </c>
      <c r="F12" s="40" t="s">
        <v>140</v>
      </c>
      <c r="G12" s="40" t="s">
        <v>140</v>
      </c>
      <c r="H12" s="29"/>
      <c r="I12" s="29">
        <f t="shared" si="0"/>
        <v>10</v>
      </c>
      <c r="J12" s="29" t="str">
        <f t="shared" si="1"/>
        <v>ЛО ОК Сраб</v>
      </c>
      <c r="K12" s="26" t="s">
        <v>154</v>
      </c>
      <c r="L12" s="30" t="s">
        <v>54</v>
      </c>
      <c r="M12" s="27" t="s">
        <v>51</v>
      </c>
      <c r="N12" s="27" t="s">
        <v>52</v>
      </c>
      <c r="O12" s="27"/>
      <c r="P12" s="31"/>
      <c r="Q12" s="31"/>
      <c r="R12" s="27" t="s">
        <v>53</v>
      </c>
      <c r="S12" s="27" t="s">
        <v>53</v>
      </c>
      <c r="T12" s="27" t="s">
        <v>53</v>
      </c>
      <c r="U12" s="27" t="s">
        <v>53</v>
      </c>
      <c r="V12" s="27"/>
      <c r="W12" s="27"/>
      <c r="X12" s="27" t="s">
        <v>53</v>
      </c>
      <c r="Y12" s="27">
        <v>0</v>
      </c>
      <c r="Z12" s="32"/>
      <c r="AA12" s="39">
        <v>0</v>
      </c>
      <c r="AB12" s="39"/>
      <c r="AC12" s="39"/>
      <c r="AD12" s="39"/>
      <c r="AE12" s="39"/>
      <c r="AF12" s="39">
        <v>0</v>
      </c>
      <c r="AG12" s="39">
        <v>0</v>
      </c>
      <c r="AH12" s="39">
        <v>0</v>
      </c>
      <c r="AI12" s="48"/>
      <c r="AJ12" s="33"/>
      <c r="AK12" s="33"/>
      <c r="AL12" s="33"/>
      <c r="AM12" s="33"/>
      <c r="AN12" s="33"/>
      <c r="AO12" s="33"/>
      <c r="AP12" s="33"/>
      <c r="AQ12" s="33"/>
      <c r="AR12" s="39">
        <v>0</v>
      </c>
      <c r="AS12" s="39">
        <v>0</v>
      </c>
      <c r="AT12" s="39">
        <v>0</v>
      </c>
      <c r="AU12" s="39">
        <v>0</v>
      </c>
      <c r="AV12" s="39">
        <f t="shared" si="2"/>
        <v>0</v>
      </c>
      <c r="AW12" s="39">
        <v>0</v>
      </c>
      <c r="AX12" s="39">
        <f t="shared" si="3"/>
        <v>0</v>
      </c>
      <c r="AY12" s="39"/>
      <c r="AZ12" s="31"/>
      <c r="BA12" s="39"/>
      <c r="BB12" s="39"/>
      <c r="BC12" s="34"/>
      <c r="BD12" s="39"/>
      <c r="BE12" s="35"/>
      <c r="BF12" s="39"/>
      <c r="BG12" s="36" t="str">
        <f t="shared" si="4"/>
        <v>description: "ЛО ОК Сраб", note: "Срабатывание ЛО ОК", group: "measurement", minValue: null, maxValue: null, step: null, units: "null", defaultValue: null, eventRegistration: 0</v>
      </c>
      <c r="BH12" s="37"/>
    </row>
    <row r="13" spans="1:16379" s="103" customFormat="1" ht="15.75" x14ac:dyDescent="0.25">
      <c r="A13" s="26"/>
      <c r="B13" s="26" t="s">
        <v>50</v>
      </c>
      <c r="C13" s="27"/>
      <c r="D13" s="28"/>
      <c r="E13" s="29" t="s">
        <v>195</v>
      </c>
      <c r="F13" s="40" t="s">
        <v>196</v>
      </c>
      <c r="G13" s="40" t="s">
        <v>196</v>
      </c>
      <c r="H13" s="29"/>
      <c r="I13" s="29">
        <f t="shared" si="0"/>
        <v>16</v>
      </c>
      <c r="J13" s="29" t="str">
        <f t="shared" si="1"/>
        <v>ЛО ДУм расш Сраб</v>
      </c>
      <c r="K13" s="26" t="s">
        <v>155</v>
      </c>
      <c r="L13" s="30" t="s">
        <v>54</v>
      </c>
      <c r="M13" s="27" t="s">
        <v>51</v>
      </c>
      <c r="N13" s="27" t="s">
        <v>52</v>
      </c>
      <c r="O13" s="27"/>
      <c r="P13" s="31"/>
      <c r="Q13" s="31"/>
      <c r="R13" s="27" t="s">
        <v>53</v>
      </c>
      <c r="S13" s="27" t="s">
        <v>53</v>
      </c>
      <c r="T13" s="27" t="s">
        <v>53</v>
      </c>
      <c r="U13" s="27" t="s">
        <v>53</v>
      </c>
      <c r="V13" s="27"/>
      <c r="W13" s="27"/>
      <c r="X13" s="27" t="s">
        <v>53</v>
      </c>
      <c r="Y13" s="27">
        <v>0</v>
      </c>
      <c r="Z13" s="32"/>
      <c r="AA13" s="39">
        <v>0</v>
      </c>
      <c r="AB13" s="39"/>
      <c r="AC13" s="39"/>
      <c r="AD13" s="39"/>
      <c r="AE13" s="39"/>
      <c r="AF13" s="39">
        <v>0</v>
      </c>
      <c r="AG13" s="39">
        <v>0</v>
      </c>
      <c r="AH13" s="39">
        <v>0</v>
      </c>
      <c r="AI13" s="48"/>
      <c r="AJ13" s="102"/>
      <c r="AK13" s="102"/>
      <c r="AL13" s="102"/>
      <c r="AM13" s="102"/>
      <c r="AN13" s="102"/>
      <c r="AO13" s="102"/>
      <c r="AP13" s="102"/>
      <c r="AQ13" s="102"/>
      <c r="AR13" s="39">
        <v>0</v>
      </c>
      <c r="AS13" s="39">
        <v>0</v>
      </c>
      <c r="AT13" s="39">
        <v>0</v>
      </c>
      <c r="AU13" s="39">
        <v>0</v>
      </c>
      <c r="AV13" s="39">
        <f t="shared" si="2"/>
        <v>0</v>
      </c>
      <c r="AW13" s="39">
        <v>0</v>
      </c>
      <c r="AX13" s="39">
        <f t="shared" si="3"/>
        <v>0</v>
      </c>
      <c r="AY13" s="39"/>
      <c r="AZ13" s="31"/>
      <c r="BA13" s="39"/>
      <c r="BB13" s="39"/>
      <c r="BC13" s="39"/>
      <c r="BD13" s="39"/>
      <c r="BE13" s="39"/>
      <c r="BF13" s="39"/>
      <c r="BG13" s="36" t="str">
        <f t="shared" si="4"/>
        <v>description: "ЛО ДУм расш Сраб", note: "Срабатывание ЛО ДУм расширителя", group: "measurement", minValue: null, maxValue: null, step: null, units: "null", defaultValue: null, eventRegistration: 0</v>
      </c>
      <c r="BH13" s="37"/>
    </row>
    <row r="14" spans="1:16379" s="94" customFormat="1" ht="15.75" x14ac:dyDescent="0.25">
      <c r="A14" s="26"/>
      <c r="B14" s="26" t="s">
        <v>50</v>
      </c>
      <c r="C14" s="27"/>
      <c r="D14" s="28"/>
      <c r="E14" s="29" t="s">
        <v>118</v>
      </c>
      <c r="F14" s="40" t="s">
        <v>141</v>
      </c>
      <c r="G14" s="40" t="s">
        <v>141</v>
      </c>
      <c r="H14" s="29"/>
      <c r="I14" s="29">
        <f t="shared" si="0"/>
        <v>8</v>
      </c>
      <c r="J14" s="29" t="str">
        <f t="shared" si="1"/>
        <v>ЗПО Сраб</v>
      </c>
      <c r="K14" s="26" t="s">
        <v>156</v>
      </c>
      <c r="L14" s="30" t="s">
        <v>54</v>
      </c>
      <c r="M14" s="27" t="s">
        <v>51</v>
      </c>
      <c r="N14" s="27" t="s">
        <v>52</v>
      </c>
      <c r="O14" s="27"/>
      <c r="P14" s="31"/>
      <c r="Q14" s="31"/>
      <c r="R14" s="27" t="s">
        <v>53</v>
      </c>
      <c r="S14" s="27" t="s">
        <v>53</v>
      </c>
      <c r="T14" s="27" t="s">
        <v>53</v>
      </c>
      <c r="U14" s="27" t="s">
        <v>53</v>
      </c>
      <c r="V14" s="27"/>
      <c r="W14" s="27"/>
      <c r="X14" s="27" t="s">
        <v>53</v>
      </c>
      <c r="Y14" s="27">
        <v>0</v>
      </c>
      <c r="Z14" s="32"/>
      <c r="AA14" s="39">
        <v>0</v>
      </c>
      <c r="AB14" s="39"/>
      <c r="AC14" s="39"/>
      <c r="AD14" s="39"/>
      <c r="AE14" s="39"/>
      <c r="AF14" s="39">
        <v>0</v>
      </c>
      <c r="AG14" s="39">
        <v>0</v>
      </c>
      <c r="AH14" s="39">
        <v>0</v>
      </c>
      <c r="AI14" s="48"/>
      <c r="AJ14" s="33"/>
      <c r="AK14" s="33"/>
      <c r="AL14" s="33"/>
      <c r="AM14" s="33"/>
      <c r="AN14" s="33"/>
      <c r="AO14" s="33"/>
      <c r="AP14" s="33"/>
      <c r="AQ14" s="33"/>
      <c r="AR14" s="39">
        <v>0</v>
      </c>
      <c r="AS14" s="39">
        <v>0</v>
      </c>
      <c r="AT14" s="39">
        <v>0</v>
      </c>
      <c r="AU14" s="39">
        <v>0</v>
      </c>
      <c r="AV14" s="39">
        <f t="shared" si="2"/>
        <v>0</v>
      </c>
      <c r="AW14" s="39">
        <v>0</v>
      </c>
      <c r="AX14" s="39">
        <f t="shared" si="3"/>
        <v>0</v>
      </c>
      <c r="AY14" s="39"/>
      <c r="AZ14" s="31"/>
      <c r="BA14" s="39"/>
      <c r="BB14" s="39"/>
      <c r="BC14" s="34"/>
      <c r="BD14" s="39"/>
      <c r="BE14" s="35"/>
      <c r="BF14" s="39"/>
      <c r="BG14" s="36" t="str">
        <f t="shared" si="4"/>
        <v>description: "ЗПО Сраб", note: "Срабатывание ЗПО", group: "measurement", minValue: null, maxValue: null, step: null, units: "null", defaultValue: null, eventRegistration: 0</v>
      </c>
      <c r="BH14" s="37"/>
    </row>
    <row r="15" spans="1:16379" s="94" customFormat="1" ht="15.75" x14ac:dyDescent="0.25">
      <c r="A15" s="26"/>
      <c r="B15" s="26" t="s">
        <v>50</v>
      </c>
      <c r="C15" s="27"/>
      <c r="D15" s="28"/>
      <c r="E15" s="29" t="s">
        <v>198</v>
      </c>
      <c r="F15" s="40" t="s">
        <v>199</v>
      </c>
      <c r="G15" s="40" t="s">
        <v>199</v>
      </c>
      <c r="H15" s="29"/>
      <c r="I15" s="29">
        <f t="shared" si="0"/>
        <v>18</v>
      </c>
      <c r="J15" s="29" t="str">
        <f t="shared" si="1"/>
        <v>ЗП ВН Сраб на откл</v>
      </c>
      <c r="K15" s="26" t="s">
        <v>200</v>
      </c>
      <c r="L15" s="30" t="s">
        <v>54</v>
      </c>
      <c r="M15" s="27" t="s">
        <v>51</v>
      </c>
      <c r="N15" s="27" t="s">
        <v>52</v>
      </c>
      <c r="O15" s="27"/>
      <c r="P15" s="31"/>
      <c r="Q15" s="31"/>
      <c r="R15" s="27" t="s">
        <v>53</v>
      </c>
      <c r="S15" s="27" t="s">
        <v>53</v>
      </c>
      <c r="T15" s="27" t="s">
        <v>53</v>
      </c>
      <c r="U15" s="27" t="s">
        <v>53</v>
      </c>
      <c r="V15" s="27"/>
      <c r="W15" s="27"/>
      <c r="X15" s="27" t="s">
        <v>53</v>
      </c>
      <c r="Y15" s="27">
        <v>0</v>
      </c>
      <c r="Z15" s="32"/>
      <c r="AA15" s="39">
        <v>0</v>
      </c>
      <c r="AB15" s="39"/>
      <c r="AC15" s="39"/>
      <c r="AD15" s="39"/>
      <c r="AE15" s="39"/>
      <c r="AF15" s="39">
        <v>0</v>
      </c>
      <c r="AG15" s="39">
        <v>0</v>
      </c>
      <c r="AH15" s="39">
        <v>0</v>
      </c>
      <c r="AI15" s="48"/>
      <c r="AJ15" s="33"/>
      <c r="AK15" s="33"/>
      <c r="AL15" s="33"/>
      <c r="AM15" s="33"/>
      <c r="AN15" s="33"/>
      <c r="AO15" s="33"/>
      <c r="AP15" s="33"/>
      <c r="AQ15" s="33"/>
      <c r="AR15" s="39">
        <v>0</v>
      </c>
      <c r="AS15" s="39">
        <v>0</v>
      </c>
      <c r="AT15" s="39">
        <v>0</v>
      </c>
      <c r="AU15" s="39">
        <v>0</v>
      </c>
      <c r="AV15" s="39">
        <f t="shared" si="2"/>
        <v>0</v>
      </c>
      <c r="AW15" s="39">
        <v>0</v>
      </c>
      <c r="AX15" s="39">
        <f t="shared" si="3"/>
        <v>0</v>
      </c>
      <c r="AY15" s="39"/>
      <c r="AZ15" s="31"/>
      <c r="BA15" s="39"/>
      <c r="BB15" s="39"/>
      <c r="BC15" s="34"/>
      <c r="BD15" s="39"/>
      <c r="BE15" s="35"/>
      <c r="BF15" s="39"/>
      <c r="BG15" s="36" t="str">
        <f t="shared" si="4"/>
        <v>description: "ЗП ВН Сраб на откл", note: "Срабатывание ЗП ВН на отключение", group: "measurement", minValue: null, maxValue: null, step: null, units: "null", defaultValue: null, eventRegistration: 0</v>
      </c>
      <c r="BH15" s="37"/>
    </row>
    <row r="16" spans="1:16379" s="94" customFormat="1" ht="15.75" x14ac:dyDescent="0.25">
      <c r="A16" s="26"/>
      <c r="B16" s="26" t="s">
        <v>50</v>
      </c>
      <c r="C16" s="27"/>
      <c r="D16" s="28"/>
      <c r="E16" s="29" t="s">
        <v>201</v>
      </c>
      <c r="F16" s="40" t="s">
        <v>202</v>
      </c>
      <c r="G16" s="40" t="s">
        <v>202</v>
      </c>
      <c r="H16" s="29"/>
      <c r="I16" s="29">
        <f t="shared" si="0"/>
        <v>19</v>
      </c>
      <c r="J16" s="29" t="str">
        <f t="shared" si="1"/>
        <v>ЗП НН1 Сраб на откл</v>
      </c>
      <c r="K16" s="26" t="s">
        <v>203</v>
      </c>
      <c r="L16" s="30" t="s">
        <v>54</v>
      </c>
      <c r="M16" s="27" t="s">
        <v>51</v>
      </c>
      <c r="N16" s="27" t="s">
        <v>52</v>
      </c>
      <c r="O16" s="27"/>
      <c r="P16" s="31"/>
      <c r="Q16" s="31"/>
      <c r="R16" s="27" t="s">
        <v>53</v>
      </c>
      <c r="S16" s="27" t="s">
        <v>53</v>
      </c>
      <c r="T16" s="27" t="s">
        <v>53</v>
      </c>
      <c r="U16" s="27" t="s">
        <v>53</v>
      </c>
      <c r="V16" s="27"/>
      <c r="W16" s="27"/>
      <c r="X16" s="27" t="s">
        <v>53</v>
      </c>
      <c r="Y16" s="27">
        <v>0</v>
      </c>
      <c r="Z16" s="32"/>
      <c r="AA16" s="39">
        <v>0</v>
      </c>
      <c r="AB16" s="39"/>
      <c r="AC16" s="39"/>
      <c r="AD16" s="39"/>
      <c r="AE16" s="39"/>
      <c r="AF16" s="39">
        <v>0</v>
      </c>
      <c r="AG16" s="39">
        <v>0</v>
      </c>
      <c r="AH16" s="39">
        <v>0</v>
      </c>
      <c r="AI16" s="48"/>
      <c r="AJ16" s="33"/>
      <c r="AK16" s="33"/>
      <c r="AL16" s="33"/>
      <c r="AM16" s="33"/>
      <c r="AN16" s="33"/>
      <c r="AO16" s="33"/>
      <c r="AP16" s="33"/>
      <c r="AQ16" s="33"/>
      <c r="AR16" s="39">
        <v>0</v>
      </c>
      <c r="AS16" s="39">
        <v>0</v>
      </c>
      <c r="AT16" s="39">
        <v>0</v>
      </c>
      <c r="AU16" s="39">
        <v>0</v>
      </c>
      <c r="AV16" s="39">
        <f t="shared" si="2"/>
        <v>0</v>
      </c>
      <c r="AW16" s="39">
        <v>0</v>
      </c>
      <c r="AX16" s="39">
        <f t="shared" si="3"/>
        <v>0</v>
      </c>
      <c r="AY16" s="39"/>
      <c r="AZ16" s="31"/>
      <c r="BA16" s="39"/>
      <c r="BB16" s="39"/>
      <c r="BC16" s="34"/>
      <c r="BD16" s="39"/>
      <c r="BE16" s="35"/>
      <c r="BF16" s="39"/>
      <c r="BG16" s="36" t="str">
        <f t="shared" si="4"/>
        <v>description: "ЗП НН1 Сраб на откл", note: "Срабатывание ЗП НН1 на отключение", group: "measurement", minValue: null, maxValue: null, step: null, units: "null", defaultValue: null, eventRegistration: 0</v>
      </c>
      <c r="BH16" s="37"/>
    </row>
    <row r="17" spans="1:60" s="94" customFormat="1" ht="15.75" x14ac:dyDescent="0.25">
      <c r="A17" s="26"/>
      <c r="B17" s="26" t="s">
        <v>50</v>
      </c>
      <c r="C17" s="27"/>
      <c r="D17" s="28"/>
      <c r="E17" s="29" t="s">
        <v>204</v>
      </c>
      <c r="F17" s="40" t="s">
        <v>205</v>
      </c>
      <c r="G17" s="40" t="s">
        <v>205</v>
      </c>
      <c r="H17" s="29"/>
      <c r="I17" s="29">
        <f t="shared" ref="I17:I18" si="5">LEN(F17)</f>
        <v>19</v>
      </c>
      <c r="J17" s="29" t="str">
        <f t="shared" ref="J17:J18" si="6">IF(LEN(F17)&lt;=$J$1,F17,"")</f>
        <v>ЗП НН2 Сраб на откл</v>
      </c>
      <c r="K17" s="26" t="s">
        <v>206</v>
      </c>
      <c r="L17" s="30" t="s">
        <v>54</v>
      </c>
      <c r="M17" s="27" t="s">
        <v>51</v>
      </c>
      <c r="N17" s="27" t="s">
        <v>52</v>
      </c>
      <c r="O17" s="27"/>
      <c r="P17" s="31"/>
      <c r="Q17" s="31"/>
      <c r="R17" s="27" t="s">
        <v>53</v>
      </c>
      <c r="S17" s="27" t="s">
        <v>53</v>
      </c>
      <c r="T17" s="27" t="s">
        <v>53</v>
      </c>
      <c r="U17" s="27" t="s">
        <v>53</v>
      </c>
      <c r="V17" s="27"/>
      <c r="W17" s="27"/>
      <c r="X17" s="27" t="s">
        <v>53</v>
      </c>
      <c r="Y17" s="27">
        <v>0</v>
      </c>
      <c r="Z17" s="32"/>
      <c r="AA17" s="39">
        <v>0</v>
      </c>
      <c r="AB17" s="39"/>
      <c r="AC17" s="39"/>
      <c r="AD17" s="39"/>
      <c r="AE17" s="39"/>
      <c r="AF17" s="39">
        <v>0</v>
      </c>
      <c r="AG17" s="39">
        <v>0</v>
      </c>
      <c r="AH17" s="39">
        <v>0</v>
      </c>
      <c r="AI17" s="48"/>
      <c r="AJ17" s="33"/>
      <c r="AK17" s="33"/>
      <c r="AL17" s="33"/>
      <c r="AM17" s="33"/>
      <c r="AN17" s="33"/>
      <c r="AO17" s="33"/>
      <c r="AP17" s="33"/>
      <c r="AQ17" s="33"/>
      <c r="AR17" s="39">
        <v>0</v>
      </c>
      <c r="AS17" s="39">
        <v>0</v>
      </c>
      <c r="AT17" s="39">
        <v>0</v>
      </c>
      <c r="AU17" s="39">
        <v>0</v>
      </c>
      <c r="AV17" s="39">
        <f t="shared" ref="AV17:AV18" si="7">BIN2DEC(CONCATENATE(0,0,0,0,AR17,AS17,AT17,AU17))</f>
        <v>0</v>
      </c>
      <c r="AW17" s="39">
        <v>0</v>
      </c>
      <c r="AX17" s="39">
        <f t="shared" si="3"/>
        <v>0</v>
      </c>
      <c r="AY17" s="39"/>
      <c r="AZ17" s="31"/>
      <c r="BA17" s="39"/>
      <c r="BB17" s="39"/>
      <c r="BC17" s="34"/>
      <c r="BD17" s="39"/>
      <c r="BE17" s="35"/>
      <c r="BF17" s="39"/>
      <c r="BG17" s="36" t="str">
        <f t="shared" ref="BG17:BG18" si="8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"ЗП НН2 Сраб на откл", note: "Срабатывание ЗП НН2 на отключение", group: "measurement", minValue: null, maxValue: null, step: null, units: "null", defaultValue: null, eventRegistration: 0</v>
      </c>
      <c r="BH17" s="37"/>
    </row>
    <row r="18" spans="1:60" s="94" customFormat="1" ht="15.75" x14ac:dyDescent="0.25">
      <c r="A18" s="26"/>
      <c r="B18" s="104" t="s">
        <v>207</v>
      </c>
      <c r="C18" s="27"/>
      <c r="D18" s="28"/>
      <c r="E18" s="29" t="s">
        <v>130</v>
      </c>
      <c r="F18" s="40" t="s">
        <v>142</v>
      </c>
      <c r="G18" s="40" t="s">
        <v>142</v>
      </c>
      <c r="H18" s="29"/>
      <c r="I18" s="29">
        <f t="shared" si="5"/>
        <v>17</v>
      </c>
      <c r="J18" s="29" t="str">
        <f t="shared" si="6"/>
        <v>Внеш. откл. от СО</v>
      </c>
      <c r="K18" s="26" t="s">
        <v>157</v>
      </c>
      <c r="L18" s="30" t="s">
        <v>54</v>
      </c>
      <c r="M18" s="27" t="s">
        <v>51</v>
      </c>
      <c r="N18" s="27" t="s">
        <v>52</v>
      </c>
      <c r="O18" s="27"/>
      <c r="P18" s="31"/>
      <c r="Q18" s="31"/>
      <c r="R18" s="27" t="s">
        <v>53</v>
      </c>
      <c r="S18" s="27" t="s">
        <v>53</v>
      </c>
      <c r="T18" s="27" t="s">
        <v>53</v>
      </c>
      <c r="U18" s="27" t="s">
        <v>53</v>
      </c>
      <c r="V18" s="27"/>
      <c r="W18" s="27"/>
      <c r="X18" s="27" t="s">
        <v>53</v>
      </c>
      <c r="Y18" s="27">
        <v>0</v>
      </c>
      <c r="Z18" s="32"/>
      <c r="AA18" s="39">
        <v>0</v>
      </c>
      <c r="AB18" s="39"/>
      <c r="AC18" s="39"/>
      <c r="AD18" s="39"/>
      <c r="AE18" s="39"/>
      <c r="AF18" s="39">
        <v>0</v>
      </c>
      <c r="AG18" s="39">
        <v>0</v>
      </c>
      <c r="AH18" s="39">
        <v>0</v>
      </c>
      <c r="AI18" s="48"/>
      <c r="AJ18" s="33"/>
      <c r="AK18" s="33"/>
      <c r="AL18" s="33"/>
      <c r="AM18" s="33"/>
      <c r="AN18" s="33"/>
      <c r="AO18" s="33"/>
      <c r="AP18" s="33"/>
      <c r="AQ18" s="33"/>
      <c r="AR18" s="39">
        <v>0</v>
      </c>
      <c r="AS18" s="39">
        <v>0</v>
      </c>
      <c r="AT18" s="39">
        <v>0</v>
      </c>
      <c r="AU18" s="39">
        <v>0</v>
      </c>
      <c r="AV18" s="39">
        <f t="shared" si="7"/>
        <v>0</v>
      </c>
      <c r="AW18" s="39">
        <v>0</v>
      </c>
      <c r="AX18" s="39">
        <f t="shared" si="3"/>
        <v>0</v>
      </c>
      <c r="AY18" s="39"/>
      <c r="AZ18" s="31"/>
      <c r="BA18" s="39"/>
      <c r="BB18" s="39"/>
      <c r="BC18" s="34"/>
      <c r="BD18" s="39"/>
      <c r="BE18" s="35"/>
      <c r="BF18" s="39"/>
      <c r="BG18" s="36" t="str">
        <f t="shared" si="8"/>
        <v>description: "Внеш. откл. от СО", note: "Внешнее отключение от СО", group: "input", minValue: null, maxValue: null, step: null, units: "null", defaultValue: null, eventRegistration: 0</v>
      </c>
      <c r="BH18" s="37"/>
    </row>
    <row r="19" spans="1:60" s="94" customFormat="1" ht="15.75" x14ac:dyDescent="0.25">
      <c r="A19" s="26"/>
      <c r="B19" s="105" t="s">
        <v>208</v>
      </c>
      <c r="C19" s="27"/>
      <c r="D19" s="28"/>
      <c r="E19" s="29" t="s">
        <v>107</v>
      </c>
      <c r="F19" s="40" t="s">
        <v>107</v>
      </c>
      <c r="G19" s="40" t="s">
        <v>107</v>
      </c>
      <c r="H19" s="29"/>
      <c r="I19" s="29">
        <f t="shared" ref="I19:I25" si="9">LEN(F19)</f>
        <v>15</v>
      </c>
      <c r="J19" s="29" t="str">
        <f t="shared" ref="J19:J25" si="10">IF(LEN(F19)&lt;=$J$1,F19,"")</f>
        <v>Вывод терминала</v>
      </c>
      <c r="K19" s="26" t="s">
        <v>108</v>
      </c>
      <c r="L19" s="30" t="s">
        <v>54</v>
      </c>
      <c r="M19" s="27" t="s">
        <v>51</v>
      </c>
      <c r="N19" s="27" t="s">
        <v>52</v>
      </c>
      <c r="O19" s="27"/>
      <c r="P19" s="31"/>
      <c r="Q19" s="31"/>
      <c r="R19" s="27" t="s">
        <v>53</v>
      </c>
      <c r="S19" s="27" t="s">
        <v>53</v>
      </c>
      <c r="T19" s="27" t="s">
        <v>53</v>
      </c>
      <c r="U19" s="27" t="s">
        <v>53</v>
      </c>
      <c r="V19" s="27"/>
      <c r="W19" s="27"/>
      <c r="X19" s="27" t="s">
        <v>53</v>
      </c>
      <c r="Y19" s="27">
        <v>0</v>
      </c>
      <c r="Z19" s="32"/>
      <c r="AA19" s="39">
        <v>0</v>
      </c>
      <c r="AB19" s="39"/>
      <c r="AC19" s="39"/>
      <c r="AD19" s="39"/>
      <c r="AE19" s="39"/>
      <c r="AF19" s="39">
        <v>0</v>
      </c>
      <c r="AG19" s="39">
        <v>0</v>
      </c>
      <c r="AH19" s="39">
        <v>0</v>
      </c>
      <c r="AI19" s="48"/>
      <c r="AJ19" s="33"/>
      <c r="AK19" s="33"/>
      <c r="AL19" s="33"/>
      <c r="AM19" s="33"/>
      <c r="AN19" s="33"/>
      <c r="AO19" s="33"/>
      <c r="AP19" s="33"/>
      <c r="AQ19" s="33"/>
      <c r="AR19" s="39">
        <v>0</v>
      </c>
      <c r="AS19" s="39">
        <v>0</v>
      </c>
      <c r="AT19" s="39">
        <v>0</v>
      </c>
      <c r="AU19" s="39">
        <v>0</v>
      </c>
      <c r="AV19" s="39">
        <f t="shared" ref="AV19:AV22" si="11">BIN2DEC(CONCATENATE(0,0,0,0,AR19,AS19,AT19,AU19))</f>
        <v>0</v>
      </c>
      <c r="AW19" s="39">
        <v>0</v>
      </c>
      <c r="AX19" s="39">
        <f t="shared" si="3"/>
        <v>0</v>
      </c>
      <c r="AY19" s="39"/>
      <c r="AZ19" s="31"/>
      <c r="BA19" s="39"/>
      <c r="BB19" s="39"/>
      <c r="BC19" s="34"/>
      <c r="BD19" s="39"/>
      <c r="BE19" s="35"/>
      <c r="BF19" s="39"/>
      <c r="BG19" s="36" t="str">
        <f t="shared" ref="BG19:BG22" si="12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"Вывод терминала", note: "Вывод терминала", group: "control", minValue: null, maxValue: null, step: null, units: "null", defaultValue: null, eventRegistration: 0</v>
      </c>
      <c r="BH19" s="37"/>
    </row>
    <row r="20" spans="1:60" s="94" customFormat="1" ht="15.75" x14ac:dyDescent="0.25">
      <c r="A20" s="26"/>
      <c r="B20" s="105" t="s">
        <v>208</v>
      </c>
      <c r="C20" s="27"/>
      <c r="D20" s="95" t="s">
        <v>120</v>
      </c>
      <c r="E20" s="29" t="s">
        <v>143</v>
      </c>
      <c r="F20" s="40" t="s">
        <v>144</v>
      </c>
      <c r="G20" s="40" t="s">
        <v>144</v>
      </c>
      <c r="H20" s="29"/>
      <c r="I20" s="29">
        <f t="shared" si="9"/>
        <v>7</v>
      </c>
      <c r="J20" s="29" t="str">
        <f t="shared" si="10"/>
        <v>ОВ ЛО Т</v>
      </c>
      <c r="K20" s="26" t="s">
        <v>158</v>
      </c>
      <c r="L20" s="30" t="s">
        <v>54</v>
      </c>
      <c r="M20" s="27" t="s">
        <v>51</v>
      </c>
      <c r="N20" s="27" t="s">
        <v>52</v>
      </c>
      <c r="O20" s="27"/>
      <c r="P20" s="31"/>
      <c r="Q20" s="31"/>
      <c r="R20" s="27" t="s">
        <v>53</v>
      </c>
      <c r="S20" s="27" t="s">
        <v>53</v>
      </c>
      <c r="T20" s="27" t="s">
        <v>53</v>
      </c>
      <c r="U20" s="27" t="s">
        <v>53</v>
      </c>
      <c r="V20" s="27"/>
      <c r="W20" s="27"/>
      <c r="X20" s="27" t="s">
        <v>53</v>
      </c>
      <c r="Y20" s="27">
        <v>0</v>
      </c>
      <c r="Z20" s="32"/>
      <c r="AA20" s="39">
        <v>0</v>
      </c>
      <c r="AB20" s="39"/>
      <c r="AC20" s="39"/>
      <c r="AD20" s="39"/>
      <c r="AE20" s="39"/>
      <c r="AF20" s="39">
        <v>0</v>
      </c>
      <c r="AG20" s="39">
        <v>0</v>
      </c>
      <c r="AH20" s="39">
        <v>0</v>
      </c>
      <c r="AI20" s="48"/>
      <c r="AJ20" s="33"/>
      <c r="AK20" s="33"/>
      <c r="AL20" s="33"/>
      <c r="AM20" s="33"/>
      <c r="AN20" s="33"/>
      <c r="AO20" s="33"/>
      <c r="AP20" s="33"/>
      <c r="AQ20" s="33"/>
      <c r="AR20" s="39">
        <v>0</v>
      </c>
      <c r="AS20" s="39">
        <v>0</v>
      </c>
      <c r="AT20" s="39">
        <v>0</v>
      </c>
      <c r="AU20" s="39">
        <v>0</v>
      </c>
      <c r="AV20" s="39">
        <f t="shared" si="11"/>
        <v>0</v>
      </c>
      <c r="AW20" s="39">
        <v>0</v>
      </c>
      <c r="AX20" s="39">
        <f t="shared" si="3"/>
        <v>0</v>
      </c>
      <c r="AY20" s="39"/>
      <c r="AZ20" s="31"/>
      <c r="BA20" s="39"/>
      <c r="BB20" s="39"/>
      <c r="BC20" s="34"/>
      <c r="BD20" s="39"/>
      <c r="BE20" s="35"/>
      <c r="BF20" s="39"/>
      <c r="BG20" s="36" t="str">
        <f t="shared" si="12"/>
        <v>description: "ОВ ЛО Т", note: "Оперативный вывод функции ЛО Т", group: "control", minValue: null, maxValue: null, step: null, units: "null", defaultValue: null, eventRegistration: 0</v>
      </c>
      <c r="BH20" s="37"/>
    </row>
    <row r="21" spans="1:60" s="97" customFormat="1" ht="15.75" x14ac:dyDescent="0.25">
      <c r="A21" s="50"/>
      <c r="B21" s="105" t="s">
        <v>208</v>
      </c>
      <c r="C21" s="51"/>
      <c r="D21" s="96" t="s">
        <v>188</v>
      </c>
      <c r="E21" s="52" t="s">
        <v>191</v>
      </c>
      <c r="F21" s="53" t="s">
        <v>193</v>
      </c>
      <c r="G21" s="53" t="s">
        <v>193</v>
      </c>
      <c r="H21" s="52"/>
      <c r="I21" s="52">
        <f t="shared" ref="I21" si="13">LEN(F21)</f>
        <v>12</v>
      </c>
      <c r="J21" s="52" t="str">
        <f t="shared" si="10"/>
        <v>ОВ ЛО Т / ЛО</v>
      </c>
      <c r="K21" s="50" t="s">
        <v>159</v>
      </c>
      <c r="L21" s="54" t="s">
        <v>54</v>
      </c>
      <c r="M21" s="51" t="s">
        <v>51</v>
      </c>
      <c r="N21" s="51" t="s">
        <v>52</v>
      </c>
      <c r="O21" s="51"/>
      <c r="P21" s="55"/>
      <c r="Q21" s="55"/>
      <c r="R21" s="51" t="s">
        <v>53</v>
      </c>
      <c r="S21" s="51" t="s">
        <v>53</v>
      </c>
      <c r="T21" s="51" t="s">
        <v>53</v>
      </c>
      <c r="U21" s="51" t="s">
        <v>53</v>
      </c>
      <c r="V21" s="51"/>
      <c r="W21" s="51"/>
      <c r="X21" s="51" t="s">
        <v>53</v>
      </c>
      <c r="Y21" s="51">
        <v>0</v>
      </c>
      <c r="Z21" s="56"/>
      <c r="AA21" s="57">
        <v>0</v>
      </c>
      <c r="AB21" s="57"/>
      <c r="AC21" s="57"/>
      <c r="AD21" s="57"/>
      <c r="AE21" s="57"/>
      <c r="AF21" s="57">
        <v>0</v>
      </c>
      <c r="AG21" s="57">
        <v>0</v>
      </c>
      <c r="AH21" s="57">
        <v>0</v>
      </c>
      <c r="AI21" s="58"/>
      <c r="AJ21" s="59"/>
      <c r="AK21" s="59"/>
      <c r="AL21" s="59"/>
      <c r="AM21" s="59"/>
      <c r="AN21" s="59"/>
      <c r="AO21" s="59"/>
      <c r="AP21" s="59"/>
      <c r="AQ21" s="59"/>
      <c r="AR21" s="57">
        <v>0</v>
      </c>
      <c r="AS21" s="57">
        <v>0</v>
      </c>
      <c r="AT21" s="57">
        <v>0</v>
      </c>
      <c r="AU21" s="57">
        <v>0</v>
      </c>
      <c r="AV21" s="57">
        <f t="shared" si="11"/>
        <v>0</v>
      </c>
      <c r="AW21" s="57">
        <v>0</v>
      </c>
      <c r="AX21" s="57">
        <f t="shared" si="3"/>
        <v>0</v>
      </c>
      <c r="AY21" s="57"/>
      <c r="AZ21" s="55"/>
      <c r="BA21" s="57"/>
      <c r="BB21" s="57"/>
      <c r="BC21" s="60"/>
      <c r="BD21" s="57"/>
      <c r="BE21" s="61"/>
      <c r="BF21" s="57"/>
      <c r="BG21" s="62" t="str">
        <f t="shared" si="12"/>
        <v>description: "ОВ ЛО Т / ЛО", note: "Оперативный вывод ЛО Т / ЛО", group: "control", minValue: null, maxValue: null, step: null, units: "null", defaultValue: null, eventRegistration: 0</v>
      </c>
      <c r="BH21" s="63"/>
    </row>
    <row r="22" spans="1:60" s="97" customFormat="1" ht="15.75" x14ac:dyDescent="0.25">
      <c r="A22" s="50"/>
      <c r="B22" s="105" t="s">
        <v>208</v>
      </c>
      <c r="C22" s="51"/>
      <c r="D22" s="96" t="s">
        <v>189</v>
      </c>
      <c r="E22" s="52" t="s">
        <v>192</v>
      </c>
      <c r="F22" s="53" t="s">
        <v>194</v>
      </c>
      <c r="G22" s="53" t="s">
        <v>194</v>
      </c>
      <c r="H22" s="52"/>
      <c r="I22" s="52">
        <f t="shared" ref="I22" si="14">LEN(F22)</f>
        <v>14</v>
      </c>
      <c r="J22" s="52" t="str">
        <f t="shared" si="10"/>
        <v>ОВ ЛО Т / ЗАПВ</v>
      </c>
      <c r="K22" s="50" t="s">
        <v>160</v>
      </c>
      <c r="L22" s="54" t="s">
        <v>54</v>
      </c>
      <c r="M22" s="51" t="s">
        <v>51</v>
      </c>
      <c r="N22" s="51" t="s">
        <v>52</v>
      </c>
      <c r="O22" s="51"/>
      <c r="P22" s="55"/>
      <c r="Q22" s="55"/>
      <c r="R22" s="51" t="s">
        <v>53</v>
      </c>
      <c r="S22" s="51" t="s">
        <v>53</v>
      </c>
      <c r="T22" s="51" t="s">
        <v>53</v>
      </c>
      <c r="U22" s="51" t="s">
        <v>53</v>
      </c>
      <c r="V22" s="51"/>
      <c r="W22" s="51"/>
      <c r="X22" s="51" t="s">
        <v>53</v>
      </c>
      <c r="Y22" s="51">
        <v>0</v>
      </c>
      <c r="Z22" s="56"/>
      <c r="AA22" s="57">
        <v>0</v>
      </c>
      <c r="AB22" s="57"/>
      <c r="AC22" s="57"/>
      <c r="AD22" s="57"/>
      <c r="AE22" s="57"/>
      <c r="AF22" s="57">
        <v>0</v>
      </c>
      <c r="AG22" s="57">
        <v>0</v>
      </c>
      <c r="AH22" s="57">
        <v>0</v>
      </c>
      <c r="AI22" s="58"/>
      <c r="AJ22" s="59"/>
      <c r="AK22" s="59"/>
      <c r="AL22" s="59"/>
      <c r="AM22" s="59"/>
      <c r="AN22" s="59"/>
      <c r="AO22" s="59"/>
      <c r="AP22" s="59"/>
      <c r="AQ22" s="59"/>
      <c r="AR22" s="57">
        <v>0</v>
      </c>
      <c r="AS22" s="57">
        <v>0</v>
      </c>
      <c r="AT22" s="57">
        <v>0</v>
      </c>
      <c r="AU22" s="57">
        <v>0</v>
      </c>
      <c r="AV22" s="57">
        <f t="shared" si="11"/>
        <v>0</v>
      </c>
      <c r="AW22" s="57">
        <v>0</v>
      </c>
      <c r="AX22" s="57">
        <f t="shared" si="3"/>
        <v>0</v>
      </c>
      <c r="AY22" s="57"/>
      <c r="AZ22" s="55"/>
      <c r="BA22" s="57"/>
      <c r="BB22" s="57"/>
      <c r="BC22" s="60"/>
      <c r="BD22" s="57"/>
      <c r="BE22" s="61"/>
      <c r="BF22" s="57"/>
      <c r="BG22" s="62" t="str">
        <f t="shared" si="12"/>
        <v>description: "ОВ ЛО Т / ЗАПВ", note: "Оперативный вывод ЛО Т / ЗАПВ", group: "control", minValue: null, maxValue: null, step: null, units: "null", defaultValue: null, eventRegistration: 0</v>
      </c>
      <c r="BH22" s="63"/>
    </row>
    <row r="23" spans="1:60" s="79" customFormat="1" ht="15.75" x14ac:dyDescent="0.25">
      <c r="A23" s="64"/>
      <c r="B23" s="65" t="s">
        <v>50</v>
      </c>
      <c r="C23" s="66"/>
      <c r="D23" s="67"/>
      <c r="E23" s="68" t="s">
        <v>55</v>
      </c>
      <c r="F23" s="68" t="s">
        <v>56</v>
      </c>
      <c r="G23" s="68" t="s">
        <v>56</v>
      </c>
      <c r="H23" s="67"/>
      <c r="I23" s="69">
        <f t="shared" si="9"/>
        <v>10</v>
      </c>
      <c r="J23" s="69" t="str">
        <f t="shared" si="10"/>
        <v>Насл.режим</v>
      </c>
      <c r="K23" s="70" t="s">
        <v>58</v>
      </c>
      <c r="L23" s="71" t="s">
        <v>57</v>
      </c>
      <c r="M23" s="72" t="s">
        <v>51</v>
      </c>
      <c r="N23" s="72" t="s">
        <v>52</v>
      </c>
      <c r="O23" s="72"/>
      <c r="P23" s="66"/>
      <c r="Q23" s="66"/>
      <c r="R23" s="72" t="s">
        <v>53</v>
      </c>
      <c r="S23" s="72" t="s">
        <v>53</v>
      </c>
      <c r="T23" s="72" t="s">
        <v>53</v>
      </c>
      <c r="U23" s="72" t="s">
        <v>53</v>
      </c>
      <c r="V23" s="66"/>
      <c r="W23" s="66"/>
      <c r="X23" s="72" t="s">
        <v>53</v>
      </c>
      <c r="Y23" s="73">
        <v>0</v>
      </c>
      <c r="Z23" s="66"/>
      <c r="AA23" s="74">
        <v>0</v>
      </c>
      <c r="AB23" s="74"/>
      <c r="AC23" s="74"/>
      <c r="AD23" s="74"/>
      <c r="AE23" s="74"/>
      <c r="AF23" s="74">
        <v>0</v>
      </c>
      <c r="AG23" s="74">
        <v>0</v>
      </c>
      <c r="AH23" s="74">
        <v>0</v>
      </c>
      <c r="AI23" s="75" t="s">
        <v>96</v>
      </c>
      <c r="AJ23" s="76" t="s">
        <v>112</v>
      </c>
      <c r="AK23" s="76" t="s">
        <v>59</v>
      </c>
      <c r="AL23" s="76" t="s">
        <v>60</v>
      </c>
      <c r="AM23" s="76" t="s">
        <v>61</v>
      </c>
      <c r="AN23" s="76"/>
      <c r="AO23" s="76" t="s">
        <v>62</v>
      </c>
      <c r="AP23" s="76" t="str">
        <f>CONCATENATE(AJ23, ".", AL23)</f>
        <v>LLN0.GrRef.setSrcRef</v>
      </c>
      <c r="AQ23" s="76" t="s">
        <v>63</v>
      </c>
      <c r="AR23" s="74">
        <v>0</v>
      </c>
      <c r="AS23" s="74">
        <v>0</v>
      </c>
      <c r="AT23" s="74">
        <v>0</v>
      </c>
      <c r="AU23" s="74">
        <v>0</v>
      </c>
      <c r="AV23" s="74">
        <f t="shared" ref="AV23:AV25" si="15">BIN2DEC(CONCATENATE(0,0,0,0,AR23,AS23,AT23,AU23))</f>
        <v>0</v>
      </c>
      <c r="AW23" s="74">
        <v>0</v>
      </c>
      <c r="AX23" s="74">
        <f t="shared" si="3"/>
        <v>0</v>
      </c>
      <c r="AY23" s="77"/>
      <c r="AZ23" s="66"/>
      <c r="BA23" s="66"/>
      <c r="BB23" s="66"/>
      <c r="BC23" s="66"/>
      <c r="BD23" s="66"/>
      <c r="BE23" s="66"/>
      <c r="BF23" s="66"/>
      <c r="BG23" s="78" t="str">
        <f t="shared" ref="BG23:BG25" si="16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"Насл.режим", note: "Наследуемый режим работы", group: "measurement", minValue: null, maxValue: null, step: null, units: "null", defaultValue: null, eventRegistration: 0</v>
      </c>
    </row>
    <row r="24" spans="1:60" s="79" customFormat="1" ht="15.75" x14ac:dyDescent="0.25">
      <c r="A24" s="64"/>
      <c r="B24" s="65" t="s">
        <v>50</v>
      </c>
      <c r="C24" s="66"/>
      <c r="D24" s="67"/>
      <c r="E24" s="68" t="s">
        <v>68</v>
      </c>
      <c r="F24" s="68" t="s">
        <v>69</v>
      </c>
      <c r="G24" s="68" t="s">
        <v>69</v>
      </c>
      <c r="H24" s="67"/>
      <c r="I24" s="69">
        <f t="shared" si="9"/>
        <v>8</v>
      </c>
      <c r="J24" s="69" t="str">
        <f t="shared" si="10"/>
        <v>Ош.крит.</v>
      </c>
      <c r="K24" s="70" t="s">
        <v>70</v>
      </c>
      <c r="L24" s="80" t="s">
        <v>54</v>
      </c>
      <c r="M24" s="72" t="s">
        <v>51</v>
      </c>
      <c r="N24" s="72" t="s">
        <v>52</v>
      </c>
      <c r="O24" s="72"/>
      <c r="P24" s="66"/>
      <c r="Q24" s="66"/>
      <c r="R24" s="72" t="s">
        <v>53</v>
      </c>
      <c r="S24" s="72" t="s">
        <v>53</v>
      </c>
      <c r="T24" s="72" t="s">
        <v>53</v>
      </c>
      <c r="U24" s="72" t="s">
        <v>53</v>
      </c>
      <c r="V24" s="66"/>
      <c r="W24" s="66"/>
      <c r="X24" s="72" t="s">
        <v>53</v>
      </c>
      <c r="Y24" s="73">
        <v>0</v>
      </c>
      <c r="Z24" s="66"/>
      <c r="AA24" s="74">
        <v>0</v>
      </c>
      <c r="AB24" s="74"/>
      <c r="AC24" s="74"/>
      <c r="AD24" s="74"/>
      <c r="AE24" s="74"/>
      <c r="AF24" s="74">
        <v>0</v>
      </c>
      <c r="AG24" s="74">
        <v>0</v>
      </c>
      <c r="AH24" s="74">
        <v>0</v>
      </c>
      <c r="AI24" s="75"/>
      <c r="AJ24" s="76"/>
      <c r="AK24" s="76"/>
      <c r="AL24" s="76"/>
      <c r="AM24" s="76"/>
      <c r="AN24" s="76"/>
      <c r="AO24" s="76"/>
      <c r="AP24" s="76"/>
      <c r="AQ24" s="76"/>
      <c r="AR24" s="74">
        <v>0</v>
      </c>
      <c r="AS24" s="74">
        <v>0</v>
      </c>
      <c r="AT24" s="74">
        <v>0</v>
      </c>
      <c r="AU24" s="74">
        <v>0</v>
      </c>
      <c r="AV24" s="74">
        <f t="shared" si="15"/>
        <v>0</v>
      </c>
      <c r="AW24" s="74">
        <v>0</v>
      </c>
      <c r="AX24" s="74">
        <f t="shared" si="3"/>
        <v>0</v>
      </c>
      <c r="AY24" s="77"/>
      <c r="AZ24" s="66"/>
      <c r="BA24" s="66"/>
      <c r="BB24" s="66"/>
      <c r="BC24" s="66"/>
      <c r="BD24" s="66"/>
      <c r="BE24" s="66"/>
      <c r="BF24" s="66"/>
      <c r="BG24" s="78" t="str">
        <f t="shared" si="16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5" spans="1:60" s="79" customFormat="1" ht="15.75" x14ac:dyDescent="0.25">
      <c r="A25" s="64"/>
      <c r="B25" s="65" t="s">
        <v>50</v>
      </c>
      <c r="C25" s="66"/>
      <c r="D25" s="67"/>
      <c r="E25" s="68" t="s">
        <v>71</v>
      </c>
      <c r="F25" s="68" t="s">
        <v>72</v>
      </c>
      <c r="G25" s="68" t="s">
        <v>72</v>
      </c>
      <c r="H25" s="67"/>
      <c r="I25" s="69">
        <f t="shared" si="9"/>
        <v>6</v>
      </c>
      <c r="J25" s="69" t="str">
        <f t="shared" si="10"/>
        <v>Ошибка</v>
      </c>
      <c r="K25" s="70" t="s">
        <v>73</v>
      </c>
      <c r="L25" s="80" t="s">
        <v>54</v>
      </c>
      <c r="M25" s="72" t="s">
        <v>51</v>
      </c>
      <c r="N25" s="72" t="s">
        <v>52</v>
      </c>
      <c r="O25" s="72"/>
      <c r="P25" s="66"/>
      <c r="Q25" s="66"/>
      <c r="R25" s="72" t="s">
        <v>53</v>
      </c>
      <c r="S25" s="72" t="s">
        <v>53</v>
      </c>
      <c r="T25" s="72" t="s">
        <v>53</v>
      </c>
      <c r="U25" s="72" t="s">
        <v>53</v>
      </c>
      <c r="V25" s="66"/>
      <c r="W25" s="66"/>
      <c r="X25" s="72" t="s">
        <v>53</v>
      </c>
      <c r="Y25" s="73">
        <v>0</v>
      </c>
      <c r="Z25" s="66"/>
      <c r="AA25" s="74">
        <v>0</v>
      </c>
      <c r="AB25" s="74"/>
      <c r="AC25" s="74"/>
      <c r="AD25" s="74"/>
      <c r="AE25" s="74"/>
      <c r="AF25" s="74">
        <v>0</v>
      </c>
      <c r="AG25" s="74">
        <v>0</v>
      </c>
      <c r="AH25" s="74">
        <v>0</v>
      </c>
      <c r="AI25" s="75"/>
      <c r="AJ25" s="76"/>
      <c r="AK25" s="76"/>
      <c r="AL25" s="76"/>
      <c r="AM25" s="76"/>
      <c r="AN25" s="76"/>
      <c r="AO25" s="76"/>
      <c r="AP25" s="76"/>
      <c r="AQ25" s="76"/>
      <c r="AR25" s="74">
        <v>0</v>
      </c>
      <c r="AS25" s="74">
        <v>0</v>
      </c>
      <c r="AT25" s="74">
        <v>0</v>
      </c>
      <c r="AU25" s="74">
        <v>0</v>
      </c>
      <c r="AV25" s="74">
        <f t="shared" si="15"/>
        <v>0</v>
      </c>
      <c r="AW25" s="74">
        <v>0</v>
      </c>
      <c r="AX25" s="74">
        <f t="shared" si="3"/>
        <v>0</v>
      </c>
      <c r="AY25" s="77"/>
      <c r="AZ25" s="66"/>
      <c r="BA25" s="66"/>
      <c r="BB25" s="66"/>
      <c r="BC25" s="66"/>
      <c r="BD25" s="66"/>
      <c r="BE25" s="66"/>
      <c r="BF25" s="66"/>
      <c r="BG25" s="78" t="str">
        <f t="shared" si="16"/>
        <v>description: "Ошибка", note: "Наличие некритической ошибки", group: "measurement", minValue: null, maxValue: null, step: null, units: "null", defaultValue: null, eventRegistration: 0</v>
      </c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9"/>
      <c r="BC26" s="4"/>
      <c r="BD26" s="1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9"/>
      <c r="BC27" s="4"/>
      <c r="BD27" s="1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9"/>
      <c r="BC28" s="4"/>
      <c r="BD28" s="1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9"/>
      <c r="BC29" s="4"/>
      <c r="BD29" s="1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9"/>
      <c r="BC30" s="4"/>
      <c r="BD30" s="1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9"/>
      <c r="BC31" s="4"/>
      <c r="BD31" s="1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9"/>
      <c r="BC32" s="4"/>
      <c r="BD32" s="1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9"/>
      <c r="BC33" s="4"/>
      <c r="BD33" s="1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9"/>
      <c r="BC34" s="4"/>
      <c r="BD34" s="1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9"/>
      <c r="BC35" s="4"/>
      <c r="BD35" s="1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9"/>
      <c r="BC36" s="4"/>
      <c r="BD36" s="1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9"/>
      <c r="BC37" s="4"/>
      <c r="BD37" s="1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9"/>
      <c r="BC38" s="4"/>
      <c r="BD38" s="1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9"/>
      <c r="BC39" s="4"/>
      <c r="BD39" s="1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9"/>
      <c r="BC40" s="4"/>
      <c r="BD40" s="1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9"/>
      <c r="BC41" s="4"/>
      <c r="BD41" s="1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9"/>
      <c r="BC42" s="4"/>
      <c r="BD42" s="1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9"/>
      <c r="BC43" s="4"/>
      <c r="BD43" s="1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9"/>
      <c r="BC44" s="4"/>
      <c r="BD44" s="1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9"/>
      <c r="BC45" s="4"/>
      <c r="BD45" s="1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9"/>
      <c r="BC46" s="4"/>
      <c r="BD46" s="1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9"/>
      <c r="BC47" s="4"/>
      <c r="BD47" s="1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9"/>
      <c r="BC48" s="4"/>
      <c r="BD48" s="1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9"/>
      <c r="BC49" s="4"/>
      <c r="BD49" s="1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9"/>
      <c r="BC50" s="4"/>
      <c r="BD50" s="1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9"/>
      <c r="BC51" s="4"/>
      <c r="BD51" s="1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9"/>
      <c r="BC52" s="4"/>
      <c r="BD52" s="1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9"/>
      <c r="BC53" s="4"/>
      <c r="BD53" s="1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9"/>
      <c r="BC54" s="4"/>
      <c r="BD54" s="1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9"/>
      <c r="BC55" s="4"/>
      <c r="BD55" s="1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9"/>
      <c r="BC56" s="4"/>
      <c r="BD56" s="1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9"/>
      <c r="BC57" s="4"/>
      <c r="BD57" s="1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9"/>
      <c r="BC58" s="4"/>
      <c r="BD58" s="1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9"/>
      <c r="BC59" s="4"/>
      <c r="BD59" s="1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9"/>
      <c r="BC60" s="4"/>
      <c r="BD60" s="1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9"/>
      <c r="BC61" s="4"/>
      <c r="BD61" s="1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9"/>
      <c r="BC62" s="4"/>
      <c r="BD62" s="1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9"/>
      <c r="BC63" s="4"/>
      <c r="BD63" s="1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9"/>
      <c r="BC64" s="4"/>
      <c r="BD64" s="1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9"/>
      <c r="BC65" s="4"/>
      <c r="BD65" s="1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9"/>
      <c r="BC66" s="4"/>
      <c r="BD66" s="1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9"/>
      <c r="BC67" s="4"/>
      <c r="BD67" s="1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9"/>
      <c r="BC68" s="4"/>
      <c r="BD68" s="1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9"/>
      <c r="BC69" s="4"/>
      <c r="BD69" s="1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9"/>
      <c r="BC70" s="4"/>
      <c r="BD70" s="1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9"/>
      <c r="BC71" s="4"/>
      <c r="BD71" s="1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9"/>
      <c r="BC72" s="4"/>
      <c r="BD72" s="1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9"/>
      <c r="BC73" s="4"/>
      <c r="BD73" s="1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9"/>
      <c r="BC74" s="4"/>
      <c r="BD74" s="1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9"/>
      <c r="BC75" s="4"/>
      <c r="BD75" s="1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9"/>
      <c r="BC76" s="4"/>
      <c r="BD76" s="1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9"/>
      <c r="BC77" s="4"/>
      <c r="BD77" s="1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9"/>
      <c r="BC78" s="4"/>
      <c r="BD78" s="1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9"/>
      <c r="BC79" s="4"/>
      <c r="BD79" s="1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9"/>
      <c r="BC80" s="4"/>
      <c r="BD80" s="1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9"/>
      <c r="BC81" s="4"/>
      <c r="BD81" s="1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9"/>
      <c r="BC82" s="4"/>
      <c r="BD82" s="1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9"/>
      <c r="BC83" s="4"/>
      <c r="BD83" s="1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9"/>
      <c r="BC84" s="4"/>
      <c r="BD84" s="1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9"/>
      <c r="BC85" s="4"/>
      <c r="BD85" s="1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9"/>
      <c r="BC86" s="4"/>
      <c r="BD86" s="1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9"/>
      <c r="BC87" s="4"/>
      <c r="BD87" s="1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9"/>
      <c r="BC88" s="4"/>
      <c r="BD88" s="1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9"/>
      <c r="BC89" s="4"/>
      <c r="BD89" s="1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9"/>
      <c r="BC90" s="4"/>
      <c r="BD90" s="1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9"/>
      <c r="BC91" s="4"/>
      <c r="BD91" s="1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9"/>
      <c r="BC92" s="4"/>
      <c r="BD92" s="1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9"/>
      <c r="BC93" s="4"/>
      <c r="BD93" s="1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9"/>
      <c r="BC94" s="4"/>
      <c r="BD94" s="1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9"/>
      <c r="BC95" s="4"/>
      <c r="BD95" s="1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9"/>
      <c r="BC96" s="4"/>
      <c r="BD96" s="1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9"/>
      <c r="BC97" s="4"/>
      <c r="BD97" s="1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9"/>
      <c r="BC98" s="4"/>
      <c r="BD98" s="1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9"/>
      <c r="BC99" s="4"/>
      <c r="BD99" s="1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9"/>
      <c r="BC100" s="4"/>
      <c r="BD100" s="1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9"/>
      <c r="BC101" s="4"/>
      <c r="BD101" s="1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9"/>
      <c r="BC102" s="4"/>
      <c r="BD102" s="1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9"/>
      <c r="BC103" s="4"/>
      <c r="BD103" s="1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9"/>
      <c r="BC104" s="4"/>
      <c r="BD104" s="1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9"/>
      <c r="BC105" s="4"/>
      <c r="BD105" s="1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9"/>
      <c r="BC106" s="4"/>
      <c r="BD106" s="1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9"/>
      <c r="BC107" s="4"/>
      <c r="BD107" s="1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9"/>
      <c r="BC108" s="4"/>
      <c r="BD108" s="1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9"/>
      <c r="BC109" s="4"/>
      <c r="BD109" s="1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9"/>
      <c r="BC110" s="4"/>
      <c r="BD110" s="1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9"/>
      <c r="BC111" s="4"/>
      <c r="BD111" s="1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9"/>
      <c r="BC112" s="4"/>
      <c r="BD112" s="1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9"/>
      <c r="BC113" s="4"/>
      <c r="BD113" s="1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9"/>
      <c r="BC114" s="4"/>
      <c r="BD114" s="1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9"/>
      <c r="BC115" s="4"/>
      <c r="BD115" s="1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9"/>
      <c r="BC116" s="4"/>
      <c r="BD116" s="1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9"/>
      <c r="BC117" s="4"/>
      <c r="BD117" s="1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9"/>
      <c r="BC118" s="4"/>
      <c r="BD118" s="1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9"/>
      <c r="BC119" s="4"/>
      <c r="BD119" s="1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9"/>
      <c r="BC120" s="4"/>
      <c r="BD120" s="1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9"/>
      <c r="BC121" s="4"/>
      <c r="BD121" s="1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9"/>
      <c r="BC122" s="4"/>
      <c r="BD122" s="1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9"/>
      <c r="BC123" s="4"/>
      <c r="BD123" s="1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9"/>
      <c r="BC124" s="4"/>
      <c r="BD124" s="1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9"/>
      <c r="BC125" s="4"/>
      <c r="BD125" s="1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9"/>
      <c r="BC126" s="4"/>
      <c r="BD126" s="1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9"/>
      <c r="BC127" s="4"/>
      <c r="BD127" s="1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9"/>
      <c r="BC128" s="4"/>
      <c r="BD128" s="1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9"/>
      <c r="BC129" s="4"/>
      <c r="BD129" s="1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9"/>
      <c r="BC130" s="4"/>
      <c r="BD130" s="1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9"/>
      <c r="BC131" s="4"/>
      <c r="BD131" s="1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9"/>
      <c r="BC132" s="4"/>
      <c r="BD132" s="1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9"/>
      <c r="BC133" s="4"/>
      <c r="BD133" s="1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9"/>
      <c r="BC134" s="4"/>
      <c r="BD134" s="1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9"/>
      <c r="BC135" s="4"/>
      <c r="BD135" s="1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9"/>
      <c r="BC136" s="4"/>
      <c r="BD136" s="1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9"/>
      <c r="BC137" s="4"/>
      <c r="BD137" s="1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9"/>
      <c r="BC138" s="4"/>
      <c r="BD138" s="1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9"/>
      <c r="BC139" s="4"/>
      <c r="BD139" s="1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9"/>
      <c r="BC140" s="4"/>
      <c r="BD140" s="1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9"/>
      <c r="BC141" s="4"/>
      <c r="BD141" s="1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9"/>
      <c r="BC142" s="4"/>
      <c r="BD142" s="1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9"/>
      <c r="BC143" s="4"/>
      <c r="BD143" s="1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9"/>
      <c r="BC144" s="4"/>
      <c r="BD144" s="1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9"/>
      <c r="BC145" s="4"/>
      <c r="BD145" s="1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9"/>
      <c r="BC146" s="4"/>
      <c r="BD146" s="1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9"/>
      <c r="BC147" s="4"/>
      <c r="BD147" s="1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9"/>
      <c r="BC148" s="4"/>
      <c r="BD148" s="1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9"/>
      <c r="BC149" s="4"/>
      <c r="BD149" s="1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9"/>
      <c r="BC150" s="4"/>
      <c r="BD150" s="1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9"/>
      <c r="BC151" s="4"/>
      <c r="BD151" s="1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9"/>
      <c r="BC152" s="4"/>
      <c r="BD152" s="1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9"/>
      <c r="BC153" s="4"/>
      <c r="BD153" s="1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9"/>
      <c r="BC154" s="4"/>
      <c r="BD154" s="1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9"/>
      <c r="BC155" s="4"/>
      <c r="BD155" s="1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9"/>
      <c r="BC156" s="4"/>
      <c r="BD156" s="1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9"/>
      <c r="BC157" s="4"/>
      <c r="BD157" s="1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9"/>
      <c r="BC158" s="4"/>
      <c r="BD158" s="1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9"/>
      <c r="BC159" s="4"/>
      <c r="BD159" s="1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9"/>
      <c r="BC160" s="4"/>
      <c r="BD160" s="1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9"/>
      <c r="BC161" s="4"/>
      <c r="BD161" s="1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9"/>
      <c r="BC162" s="4"/>
      <c r="BD162" s="1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9"/>
      <c r="BC163" s="4"/>
      <c r="BD163" s="1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9"/>
      <c r="BC164" s="4"/>
      <c r="BD164" s="1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9"/>
      <c r="BC165" s="4"/>
      <c r="BD165" s="1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9"/>
      <c r="BC166" s="4"/>
      <c r="BD166" s="1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9"/>
      <c r="BC167" s="4"/>
      <c r="BD167" s="1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9"/>
      <c r="BC168" s="4"/>
      <c r="BD168" s="1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9"/>
      <c r="BC169" s="4"/>
      <c r="BD169" s="1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9"/>
      <c r="BC170" s="4"/>
      <c r="BD170" s="1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9"/>
      <c r="BC171" s="4"/>
      <c r="BD171" s="1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9"/>
      <c r="BC172" s="4"/>
      <c r="BD172" s="1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9"/>
      <c r="BC173" s="4"/>
      <c r="BD173" s="1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9"/>
      <c r="BC174" s="4"/>
      <c r="BD174" s="1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9"/>
      <c r="BC175" s="4"/>
      <c r="BD175" s="1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9"/>
      <c r="BC176" s="4"/>
      <c r="BD176" s="1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9"/>
      <c r="BC177" s="4"/>
      <c r="BD177" s="1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9"/>
      <c r="BC178" s="4"/>
      <c r="BD178" s="1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9"/>
      <c r="BC179" s="4"/>
      <c r="BD179" s="1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9"/>
      <c r="BC180" s="4"/>
      <c r="BD180" s="1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9"/>
      <c r="BC181" s="4"/>
      <c r="BD181" s="1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9"/>
      <c r="BC182" s="4"/>
      <c r="BD182" s="1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9"/>
      <c r="BC183" s="4"/>
      <c r="BD183" s="19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9"/>
      <c r="BC184" s="4"/>
      <c r="BD184" s="19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9"/>
      <c r="BC185" s="4"/>
      <c r="BD185" s="19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9"/>
      <c r="BC186" s="4"/>
      <c r="BD186" s="19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9"/>
      <c r="BC187" s="4"/>
      <c r="BD187" s="19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9"/>
      <c r="BC188" s="4"/>
      <c r="BD188" s="19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9"/>
      <c r="BC189" s="4"/>
      <c r="BD189" s="19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9"/>
      <c r="BC190" s="4"/>
      <c r="BD190" s="19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9"/>
      <c r="BC191" s="4"/>
      <c r="BD191" s="19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9"/>
      <c r="BC192" s="4"/>
      <c r="BD192" s="19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9"/>
      <c r="BC193" s="4"/>
      <c r="BD193" s="19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9"/>
      <c r="BC194" s="4"/>
      <c r="BD194" s="19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9"/>
      <c r="BC195" s="4"/>
      <c r="BD195" s="19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9"/>
      <c r="BC196" s="4"/>
      <c r="BD196" s="19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9"/>
      <c r="BC197" s="4"/>
      <c r="BD197" s="19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9"/>
      <c r="BC198" s="4"/>
      <c r="BD198" s="19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9"/>
      <c r="BC199" s="4"/>
      <c r="BD199" s="19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9"/>
      <c r="BC200" s="4"/>
      <c r="BD200" s="19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9"/>
      <c r="BC201" s="4"/>
      <c r="BD201" s="19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9"/>
      <c r="BC202" s="4"/>
      <c r="BD202" s="19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9"/>
      <c r="BC203" s="4"/>
      <c r="BD203" s="19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9"/>
      <c r="BC204" s="4"/>
      <c r="BD204" s="19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9"/>
      <c r="BC205" s="4"/>
      <c r="BD205" s="19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9"/>
      <c r="BC206" s="4"/>
      <c r="BD206" s="19"/>
      <c r="BE206" s="4"/>
      <c r="BF206" s="4"/>
      <c r="BG206" s="1"/>
      <c r="BH20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7"/>
  <sheetViews>
    <sheetView tabSelected="1" topLeftCell="AM1" zoomScale="80" zoomScaleNormal="80" workbookViewId="0">
      <selection activeCell="AX21" sqref="AX20:AX2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0.28515625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28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2851562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9" hidden="1" customWidth="1" outlineLevel="1"/>
    <col min="55" max="55" width="13.28515625" style="4" hidden="1" customWidth="1" outlineLevel="1"/>
    <col min="56" max="56" width="13" style="1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109" t="s">
        <v>0</v>
      </c>
      <c r="BA1" s="110"/>
      <c r="BB1" s="110"/>
      <c r="BC1" s="110"/>
      <c r="BD1" s="110"/>
      <c r="BE1" s="110"/>
      <c r="BF1" s="110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10" t="s">
        <v>7</v>
      </c>
      <c r="I2" s="10" t="s">
        <v>8</v>
      </c>
      <c r="J2" s="10" t="s">
        <v>104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102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74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98</v>
      </c>
      <c r="AC2" s="15" t="s">
        <v>99</v>
      </c>
      <c r="AD2" s="15" t="s">
        <v>100</v>
      </c>
      <c r="AE2" s="15" t="s">
        <v>101</v>
      </c>
      <c r="AF2" s="15" t="s">
        <v>24</v>
      </c>
      <c r="AG2" s="15" t="s">
        <v>25</v>
      </c>
      <c r="AH2" s="14" t="s">
        <v>26</v>
      </c>
      <c r="AI2" s="25" t="s">
        <v>97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106" t="s">
        <v>209</v>
      </c>
      <c r="AW2" s="106" t="s">
        <v>210</v>
      </c>
      <c r="AX2" s="106" t="s">
        <v>211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8" customFormat="1" ht="15.75" x14ac:dyDescent="0.25">
      <c r="A3" s="41"/>
      <c r="B3" s="107" t="s">
        <v>212</v>
      </c>
      <c r="C3" s="42"/>
      <c r="D3" s="98" t="s">
        <v>188</v>
      </c>
      <c r="E3" s="40" t="s">
        <v>75</v>
      </c>
      <c r="F3" s="20" t="s">
        <v>76</v>
      </c>
      <c r="G3" s="20" t="s">
        <v>76</v>
      </c>
      <c r="H3" s="9"/>
      <c r="I3" s="40">
        <f t="shared" ref="I3:I4" si="0">LEN(F3)</f>
        <v>4</v>
      </c>
      <c r="J3" s="40" t="str">
        <f>IF(LEN(F3)&lt;=$J$1,F3,"")</f>
        <v>Ввод</v>
      </c>
      <c r="K3" s="43" t="s">
        <v>161</v>
      </c>
      <c r="L3" s="44" t="s">
        <v>54</v>
      </c>
      <c r="M3" s="45" t="s">
        <v>51</v>
      </c>
      <c r="N3" s="45" t="s">
        <v>52</v>
      </c>
      <c r="O3" s="45"/>
      <c r="P3" s="31"/>
      <c r="Q3" s="31"/>
      <c r="R3" s="45" t="s">
        <v>53</v>
      </c>
      <c r="S3" s="45" t="s">
        <v>53</v>
      </c>
      <c r="T3" s="45" t="s">
        <v>53</v>
      </c>
      <c r="U3" s="45" t="s">
        <v>53</v>
      </c>
      <c r="V3" s="42"/>
      <c r="W3" s="42"/>
      <c r="X3" s="45" t="s">
        <v>53</v>
      </c>
      <c r="Y3" s="45">
        <v>2</v>
      </c>
      <c r="Z3" s="42"/>
      <c r="AA3" s="39">
        <v>0</v>
      </c>
      <c r="AB3" s="39"/>
      <c r="AC3" s="39"/>
      <c r="AD3" s="39"/>
      <c r="AE3" s="39"/>
      <c r="AF3" s="39">
        <v>0</v>
      </c>
      <c r="AG3" s="39">
        <v>0</v>
      </c>
      <c r="AH3" s="39">
        <v>0</v>
      </c>
      <c r="AI3" s="48"/>
      <c r="AJ3" s="38"/>
      <c r="AK3" s="38"/>
      <c r="AL3" s="38"/>
      <c r="AM3" s="38"/>
      <c r="AN3" s="38"/>
      <c r="AO3" s="38"/>
      <c r="AP3" s="38"/>
      <c r="AQ3" s="38"/>
      <c r="AR3" s="42">
        <v>0</v>
      </c>
      <c r="AS3" s="42">
        <v>1</v>
      </c>
      <c r="AT3" s="42">
        <v>0</v>
      </c>
      <c r="AU3" s="42">
        <v>1</v>
      </c>
      <c r="AV3" s="42">
        <v>1</v>
      </c>
      <c r="AW3" s="42">
        <v>1</v>
      </c>
      <c r="AX3" s="42">
        <v>1</v>
      </c>
      <c r="AY3" s="47"/>
      <c r="AZ3" s="42"/>
      <c r="BA3" s="42"/>
      <c r="BB3" s="42"/>
      <c r="BC3" s="42"/>
      <c r="BD3" s="42"/>
      <c r="BE3" s="42"/>
      <c r="BF3" s="42"/>
      <c r="BG3" s="46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8" customFormat="1" ht="15.75" x14ac:dyDescent="0.25">
      <c r="A4" s="41"/>
      <c r="B4" s="107" t="s">
        <v>212</v>
      </c>
      <c r="C4" s="42"/>
      <c r="D4" s="98" t="s">
        <v>188</v>
      </c>
      <c r="E4" s="40" t="s">
        <v>77</v>
      </c>
      <c r="F4" s="20" t="s">
        <v>109</v>
      </c>
      <c r="G4" s="20" t="s">
        <v>109</v>
      </c>
      <c r="H4" s="9"/>
      <c r="I4" s="40">
        <f t="shared" si="0"/>
        <v>17</v>
      </c>
      <c r="J4" s="40" t="str">
        <f t="shared" ref="J4" si="2">IF(LEN(F4)&lt;=$J$1,F4,"")</f>
        <v>Оперативный вывод</v>
      </c>
      <c r="K4" s="43" t="s">
        <v>162</v>
      </c>
      <c r="L4" s="44" t="s">
        <v>54</v>
      </c>
      <c r="M4" s="45" t="s">
        <v>51</v>
      </c>
      <c r="N4" s="45" t="s">
        <v>52</v>
      </c>
      <c r="O4" s="45"/>
      <c r="P4" s="31"/>
      <c r="Q4" s="31"/>
      <c r="R4" s="45" t="s">
        <v>53</v>
      </c>
      <c r="S4" s="45" t="s">
        <v>53</v>
      </c>
      <c r="T4" s="45" t="s">
        <v>53</v>
      </c>
      <c r="U4" s="45" t="s">
        <v>53</v>
      </c>
      <c r="V4" s="42"/>
      <c r="W4" s="42"/>
      <c r="X4" s="45" t="s">
        <v>53</v>
      </c>
      <c r="Y4" s="45">
        <v>2</v>
      </c>
      <c r="Z4" s="42"/>
      <c r="AA4" s="39">
        <v>0</v>
      </c>
      <c r="AB4" s="39"/>
      <c r="AC4" s="39"/>
      <c r="AD4" s="39"/>
      <c r="AE4" s="39"/>
      <c r="AF4" s="39">
        <v>0</v>
      </c>
      <c r="AG4" s="39">
        <v>0</v>
      </c>
      <c r="AH4" s="39">
        <v>0</v>
      </c>
      <c r="AI4" s="48"/>
      <c r="AJ4" s="38"/>
      <c r="AK4" s="38"/>
      <c r="AL4" s="38"/>
      <c r="AM4" s="38"/>
      <c r="AN4" s="38"/>
      <c r="AO4" s="38"/>
      <c r="AP4" s="38"/>
      <c r="AQ4" s="38"/>
      <c r="AR4" s="42">
        <v>0</v>
      </c>
      <c r="AS4" s="42">
        <v>1</v>
      </c>
      <c r="AT4" s="42">
        <v>0</v>
      </c>
      <c r="AU4" s="42">
        <v>1</v>
      </c>
      <c r="AV4" s="42">
        <v>1</v>
      </c>
      <c r="AW4" s="42">
        <v>1</v>
      </c>
      <c r="AX4" s="42">
        <v>1</v>
      </c>
      <c r="AY4" s="47"/>
      <c r="AZ4" s="42"/>
      <c r="BA4" s="42"/>
      <c r="BB4" s="42"/>
      <c r="BC4" s="42"/>
      <c r="BD4" s="42"/>
      <c r="BE4" s="42"/>
      <c r="BF4" s="42"/>
      <c r="BG4" s="46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8" customFormat="1" ht="15.75" x14ac:dyDescent="0.25">
      <c r="A5" s="41"/>
      <c r="B5" s="107" t="s">
        <v>212</v>
      </c>
      <c r="C5" s="42"/>
      <c r="D5" s="98" t="s">
        <v>188</v>
      </c>
      <c r="E5" s="40" t="s">
        <v>116</v>
      </c>
      <c r="F5" s="20" t="s">
        <v>116</v>
      </c>
      <c r="G5" s="20" t="s">
        <v>116</v>
      </c>
      <c r="H5" s="9"/>
      <c r="I5" s="40">
        <f>LEN(F5)</f>
        <v>12</v>
      </c>
      <c r="J5" s="40" t="str">
        <f>IF(LEN(F5)&lt;=$J$1,F5,"")</f>
        <v>Срабатывание</v>
      </c>
      <c r="K5" s="43" t="s">
        <v>163</v>
      </c>
      <c r="L5" s="44" t="s">
        <v>54</v>
      </c>
      <c r="M5" s="45" t="s">
        <v>51</v>
      </c>
      <c r="N5" s="45" t="s">
        <v>52</v>
      </c>
      <c r="O5" s="45"/>
      <c r="P5" s="31"/>
      <c r="Q5" s="31"/>
      <c r="R5" s="45" t="s">
        <v>53</v>
      </c>
      <c r="S5" s="45" t="s">
        <v>53</v>
      </c>
      <c r="T5" s="45" t="s">
        <v>53</v>
      </c>
      <c r="U5" s="45" t="s">
        <v>53</v>
      </c>
      <c r="V5" s="42"/>
      <c r="W5" s="42"/>
      <c r="X5" s="45" t="s">
        <v>53</v>
      </c>
      <c r="Y5" s="45">
        <v>2</v>
      </c>
      <c r="Z5" s="42"/>
      <c r="AA5" s="39">
        <v>0</v>
      </c>
      <c r="AB5" s="39"/>
      <c r="AC5" s="39"/>
      <c r="AD5" s="39"/>
      <c r="AE5" s="39"/>
      <c r="AF5" s="39">
        <v>0</v>
      </c>
      <c r="AG5" s="39">
        <v>0</v>
      </c>
      <c r="AH5" s="39">
        <v>0</v>
      </c>
      <c r="AI5" s="48" t="s">
        <v>176</v>
      </c>
      <c r="AJ5" s="38" t="s">
        <v>178</v>
      </c>
      <c r="AK5" s="38" t="s">
        <v>117</v>
      </c>
      <c r="AL5" s="38" t="s">
        <v>78</v>
      </c>
      <c r="AM5" s="38" t="s">
        <v>110</v>
      </c>
      <c r="AN5" s="38"/>
      <c r="AO5" s="38" t="s">
        <v>67</v>
      </c>
      <c r="AP5" s="38" t="str">
        <f>CONCATENATE(AJ5, ".", AL5)</f>
        <v>PTRC1.Op.general</v>
      </c>
      <c r="AQ5" s="38" t="s">
        <v>63</v>
      </c>
      <c r="AR5" s="42">
        <v>0</v>
      </c>
      <c r="AS5" s="42">
        <v>1</v>
      </c>
      <c r="AT5" s="42">
        <v>0</v>
      </c>
      <c r="AU5" s="42">
        <v>1</v>
      </c>
      <c r="AV5" s="42">
        <v>1</v>
      </c>
      <c r="AW5" s="42">
        <v>1</v>
      </c>
      <c r="AX5" s="42">
        <v>1</v>
      </c>
      <c r="AY5" s="47"/>
      <c r="AZ5" s="42"/>
      <c r="BA5" s="42"/>
      <c r="BB5" s="42"/>
      <c r="BC5" s="42"/>
      <c r="BD5" s="42"/>
      <c r="BE5" s="42"/>
      <c r="BF5" s="42"/>
      <c r="BG5" s="46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"Срабатывание", note: "Срабатывание", group: "status", minValue: null, maxValue: null, step: null, units: "null", defaultValue: null, eventRegistration: 2</v>
      </c>
    </row>
    <row r="6" spans="1:16379" s="91" customFormat="1" ht="15.75" x14ac:dyDescent="0.25">
      <c r="A6" s="81"/>
      <c r="B6" s="107" t="s">
        <v>212</v>
      </c>
      <c r="C6" s="82"/>
      <c r="D6" s="96" t="s">
        <v>189</v>
      </c>
      <c r="E6" s="53" t="s">
        <v>75</v>
      </c>
      <c r="F6" s="83" t="s">
        <v>76</v>
      </c>
      <c r="G6" s="83" t="s">
        <v>76</v>
      </c>
      <c r="H6" s="84"/>
      <c r="I6" s="53">
        <f t="shared" ref="I6:I7" si="3">LEN(F6)</f>
        <v>4</v>
      </c>
      <c r="J6" s="53" t="str">
        <f>IF(LEN(F6)&lt;=$J$1,F6,"")</f>
        <v>Ввод</v>
      </c>
      <c r="K6" s="85" t="s">
        <v>165</v>
      </c>
      <c r="L6" s="86" t="s">
        <v>54</v>
      </c>
      <c r="M6" s="87" t="s">
        <v>51</v>
      </c>
      <c r="N6" s="87" t="s">
        <v>52</v>
      </c>
      <c r="O6" s="87"/>
      <c r="P6" s="55"/>
      <c r="Q6" s="55"/>
      <c r="R6" s="87" t="s">
        <v>53</v>
      </c>
      <c r="S6" s="87" t="s">
        <v>53</v>
      </c>
      <c r="T6" s="87" t="s">
        <v>53</v>
      </c>
      <c r="U6" s="87" t="s">
        <v>53</v>
      </c>
      <c r="V6" s="82"/>
      <c r="W6" s="82"/>
      <c r="X6" s="87" t="s">
        <v>53</v>
      </c>
      <c r="Y6" s="87">
        <v>2</v>
      </c>
      <c r="Z6" s="82"/>
      <c r="AA6" s="57">
        <v>0</v>
      </c>
      <c r="AB6" s="57"/>
      <c r="AC6" s="57"/>
      <c r="AD6" s="57"/>
      <c r="AE6" s="57"/>
      <c r="AF6" s="57">
        <v>0</v>
      </c>
      <c r="AG6" s="57">
        <v>0</v>
      </c>
      <c r="AH6" s="57">
        <v>0</v>
      </c>
      <c r="AI6" s="58"/>
      <c r="AJ6" s="88"/>
      <c r="AK6" s="88"/>
      <c r="AL6" s="88"/>
      <c r="AM6" s="88"/>
      <c r="AN6" s="88"/>
      <c r="AO6" s="88"/>
      <c r="AP6" s="88"/>
      <c r="AQ6" s="88"/>
      <c r="AR6" s="82">
        <v>0</v>
      </c>
      <c r="AS6" s="82">
        <v>1</v>
      </c>
      <c r="AT6" s="82">
        <v>0</v>
      </c>
      <c r="AU6" s="82">
        <v>1</v>
      </c>
      <c r="AV6" s="82">
        <v>1</v>
      </c>
      <c r="AW6" s="82">
        <v>1</v>
      </c>
      <c r="AX6" s="82">
        <v>1</v>
      </c>
      <c r="AY6" s="89"/>
      <c r="AZ6" s="82"/>
      <c r="BA6" s="82"/>
      <c r="BB6" s="82"/>
      <c r="BC6" s="82"/>
      <c r="BD6" s="82"/>
      <c r="BE6" s="82"/>
      <c r="BF6" s="82"/>
      <c r="BG6" s="90" t="str">
        <f t="shared" ref="BG6:BG7" si="4">CONCATENATE("description: """,F6,"""", ", ", "note: """,E6,"""",", ","group: """, B6, """",", ","minValue: ", S6,", ","maxValue: ", T6,", ","step: ", U6,", ","units: """, R6, """",", ","defaultValue: ", X6,", ","eventRegistration: ", Y6,)</f>
        <v>description: "Ввод", note: "Функция введена в работу", group: "status", minValue: null, maxValue: null, step: null, units: "null", defaultValue: null, eventRegistration: 2</v>
      </c>
    </row>
    <row r="7" spans="1:16379" s="91" customFormat="1" ht="15.75" x14ac:dyDescent="0.25">
      <c r="A7" s="81"/>
      <c r="B7" s="107" t="s">
        <v>212</v>
      </c>
      <c r="C7" s="82"/>
      <c r="D7" s="96" t="s">
        <v>189</v>
      </c>
      <c r="E7" s="53" t="s">
        <v>77</v>
      </c>
      <c r="F7" s="83" t="s">
        <v>109</v>
      </c>
      <c r="G7" s="83" t="s">
        <v>109</v>
      </c>
      <c r="H7" s="84"/>
      <c r="I7" s="53">
        <f t="shared" si="3"/>
        <v>17</v>
      </c>
      <c r="J7" s="53" t="str">
        <f t="shared" ref="J7" si="5">IF(LEN(F7)&lt;=$J$1,F7,"")</f>
        <v>Оперативный вывод</v>
      </c>
      <c r="K7" s="85" t="s">
        <v>166</v>
      </c>
      <c r="L7" s="86" t="s">
        <v>54</v>
      </c>
      <c r="M7" s="87" t="s">
        <v>51</v>
      </c>
      <c r="N7" s="87" t="s">
        <v>52</v>
      </c>
      <c r="O7" s="87"/>
      <c r="P7" s="55"/>
      <c r="Q7" s="55"/>
      <c r="R7" s="87" t="s">
        <v>53</v>
      </c>
      <c r="S7" s="87" t="s">
        <v>53</v>
      </c>
      <c r="T7" s="87" t="s">
        <v>53</v>
      </c>
      <c r="U7" s="87" t="s">
        <v>53</v>
      </c>
      <c r="V7" s="82"/>
      <c r="W7" s="82"/>
      <c r="X7" s="87" t="s">
        <v>53</v>
      </c>
      <c r="Y7" s="87">
        <v>2</v>
      </c>
      <c r="Z7" s="82"/>
      <c r="AA7" s="57">
        <v>0</v>
      </c>
      <c r="AB7" s="57"/>
      <c r="AC7" s="57"/>
      <c r="AD7" s="57"/>
      <c r="AE7" s="57"/>
      <c r="AF7" s="57">
        <v>0</v>
      </c>
      <c r="AG7" s="57">
        <v>0</v>
      </c>
      <c r="AH7" s="57">
        <v>0</v>
      </c>
      <c r="AI7" s="58"/>
      <c r="AJ7" s="88"/>
      <c r="AK7" s="88"/>
      <c r="AL7" s="88"/>
      <c r="AM7" s="88"/>
      <c r="AN7" s="88"/>
      <c r="AO7" s="88"/>
      <c r="AP7" s="88"/>
      <c r="AQ7" s="88"/>
      <c r="AR7" s="82">
        <v>0</v>
      </c>
      <c r="AS7" s="82">
        <v>1</v>
      </c>
      <c r="AT7" s="82">
        <v>0</v>
      </c>
      <c r="AU7" s="82">
        <v>1</v>
      </c>
      <c r="AV7" s="82">
        <v>1</v>
      </c>
      <c r="AW7" s="82">
        <v>1</v>
      </c>
      <c r="AX7" s="82">
        <v>1</v>
      </c>
      <c r="AY7" s="89"/>
      <c r="AZ7" s="82"/>
      <c r="BA7" s="82"/>
      <c r="BB7" s="82"/>
      <c r="BC7" s="82"/>
      <c r="BD7" s="82"/>
      <c r="BE7" s="82"/>
      <c r="BF7" s="82"/>
      <c r="BG7" s="90" t="str">
        <f t="shared" si="4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8" spans="1:16379" s="91" customFormat="1" ht="15.75" x14ac:dyDescent="0.25">
      <c r="A8" s="81"/>
      <c r="B8" s="107" t="s">
        <v>212</v>
      </c>
      <c r="C8" s="82"/>
      <c r="D8" s="96" t="s">
        <v>189</v>
      </c>
      <c r="E8" s="53" t="s">
        <v>164</v>
      </c>
      <c r="F8" s="83" t="s">
        <v>164</v>
      </c>
      <c r="G8" s="83" t="s">
        <v>164</v>
      </c>
      <c r="H8" s="84"/>
      <c r="I8" s="53">
        <f t="shared" ref="I8:I14" si="6">LEN(F8)</f>
        <v>10</v>
      </c>
      <c r="J8" s="53" t="str">
        <f t="shared" ref="J8:J14" si="7">IF(LEN(F8)&lt;=$J$1,F8,"")</f>
        <v>Запрет АПВ</v>
      </c>
      <c r="K8" s="85" t="s">
        <v>167</v>
      </c>
      <c r="L8" s="86" t="s">
        <v>54</v>
      </c>
      <c r="M8" s="87" t="s">
        <v>51</v>
      </c>
      <c r="N8" s="87" t="s">
        <v>52</v>
      </c>
      <c r="O8" s="87"/>
      <c r="P8" s="55"/>
      <c r="Q8" s="55"/>
      <c r="R8" s="87" t="s">
        <v>53</v>
      </c>
      <c r="S8" s="87" t="s">
        <v>53</v>
      </c>
      <c r="T8" s="87" t="s">
        <v>53</v>
      </c>
      <c r="U8" s="87" t="s">
        <v>53</v>
      </c>
      <c r="V8" s="82"/>
      <c r="W8" s="82"/>
      <c r="X8" s="87" t="s">
        <v>53</v>
      </c>
      <c r="Y8" s="87">
        <v>2</v>
      </c>
      <c r="Z8" s="82"/>
      <c r="AA8" s="57">
        <v>0</v>
      </c>
      <c r="AB8" s="57"/>
      <c r="AC8" s="57"/>
      <c r="AD8" s="57"/>
      <c r="AE8" s="57"/>
      <c r="AF8" s="57">
        <v>0</v>
      </c>
      <c r="AG8" s="57">
        <v>0</v>
      </c>
      <c r="AH8" s="57">
        <v>0</v>
      </c>
      <c r="AI8" s="58" t="s">
        <v>177</v>
      </c>
      <c r="AJ8" s="88" t="s">
        <v>183</v>
      </c>
      <c r="AK8" s="88" t="s">
        <v>184</v>
      </c>
      <c r="AL8" s="88" t="s">
        <v>64</v>
      </c>
      <c r="AM8" s="88" t="s">
        <v>110</v>
      </c>
      <c r="AN8" s="88"/>
      <c r="AO8" s="88" t="s">
        <v>67</v>
      </c>
      <c r="AP8" s="88" t="str">
        <f>CONCATENATE(AJ8, ".", AL8)</f>
        <v>RBRE1.BlkOp.stVal</v>
      </c>
      <c r="AQ8" s="88" t="s">
        <v>63</v>
      </c>
      <c r="AR8" s="82">
        <v>0</v>
      </c>
      <c r="AS8" s="82">
        <v>1</v>
      </c>
      <c r="AT8" s="82">
        <v>0</v>
      </c>
      <c r="AU8" s="82">
        <v>1</v>
      </c>
      <c r="AV8" s="82">
        <v>1</v>
      </c>
      <c r="AW8" s="82">
        <v>1</v>
      </c>
      <c r="AX8" s="82">
        <v>1</v>
      </c>
      <c r="AY8" s="89"/>
      <c r="AZ8" s="82"/>
      <c r="BA8" s="82"/>
      <c r="BB8" s="82"/>
      <c r="BC8" s="82"/>
      <c r="BD8" s="82"/>
      <c r="BE8" s="82"/>
      <c r="BF8" s="82"/>
      <c r="BG8" s="90" t="str">
        <f t="shared" ref="BG8:BG14" si="8">CONCATENATE("description: """,F8,"""", ", ", "note: """,E8,"""",", ","group: """, B8, """",", ","minValue: ", S8,", ","maxValue: ", T8,", ","step: ", U8,", ","units: """, R8, """",", ","defaultValue: ", X8,", ","eventRegistration: ", Y8,)</f>
        <v>description: "Запрет АПВ", note: "Запрет АПВ", group: "status", minValue: null, maxValue: null, step: null, units: "null", defaultValue: null, eventRegistration: 2</v>
      </c>
    </row>
    <row r="9" spans="1:16379" s="79" customFormat="1" ht="15.75" x14ac:dyDescent="0.25">
      <c r="A9" s="64"/>
      <c r="B9" s="107" t="s">
        <v>212</v>
      </c>
      <c r="C9" s="66"/>
      <c r="D9" s="99"/>
      <c r="E9" s="68" t="s">
        <v>79</v>
      </c>
      <c r="F9" s="68" t="s">
        <v>80</v>
      </c>
      <c r="G9" s="68" t="s">
        <v>80</v>
      </c>
      <c r="H9" s="66"/>
      <c r="I9" s="68">
        <f t="shared" si="6"/>
        <v>12</v>
      </c>
      <c r="J9" s="68" t="str">
        <f t="shared" si="7"/>
        <v>Поведение LD</v>
      </c>
      <c r="K9" s="70" t="s">
        <v>81</v>
      </c>
      <c r="L9" s="71" t="s">
        <v>57</v>
      </c>
      <c r="M9" s="73" t="s">
        <v>51</v>
      </c>
      <c r="N9" s="73" t="s">
        <v>52</v>
      </c>
      <c r="O9" s="73"/>
      <c r="P9" s="66"/>
      <c r="Q9" s="66"/>
      <c r="R9" s="73" t="s">
        <v>53</v>
      </c>
      <c r="S9" s="73" t="s">
        <v>53</v>
      </c>
      <c r="T9" s="73" t="s">
        <v>53</v>
      </c>
      <c r="U9" s="73" t="s">
        <v>53</v>
      </c>
      <c r="V9" s="66"/>
      <c r="W9" s="66"/>
      <c r="X9" s="73" t="s">
        <v>53</v>
      </c>
      <c r="Y9" s="73">
        <v>0</v>
      </c>
      <c r="Z9" s="66"/>
      <c r="AA9" s="74">
        <v>0</v>
      </c>
      <c r="AB9" s="74"/>
      <c r="AC9" s="74"/>
      <c r="AD9" s="74"/>
      <c r="AE9" s="74"/>
      <c r="AF9" s="74">
        <v>0</v>
      </c>
      <c r="AG9" s="74">
        <v>0</v>
      </c>
      <c r="AH9" s="74">
        <v>0</v>
      </c>
      <c r="AI9" s="75" t="s">
        <v>96</v>
      </c>
      <c r="AJ9" s="76" t="s">
        <v>113</v>
      </c>
      <c r="AK9" s="76" t="s">
        <v>82</v>
      </c>
      <c r="AL9" s="76" t="s">
        <v>64</v>
      </c>
      <c r="AM9" s="76" t="s">
        <v>65</v>
      </c>
      <c r="AN9" s="76" t="s">
        <v>66</v>
      </c>
      <c r="AO9" s="76" t="s">
        <v>67</v>
      </c>
      <c r="AP9" s="76" t="str">
        <f t="shared" ref="AP9:AP12" si="9">CONCATENATE(AJ9, ".", AL9)</f>
        <v>LLN0.Beh.stVal</v>
      </c>
      <c r="AQ9" s="76" t="s">
        <v>63</v>
      </c>
      <c r="AR9" s="66">
        <v>0</v>
      </c>
      <c r="AS9" s="66">
        <v>0</v>
      </c>
      <c r="AT9" s="66">
        <v>0</v>
      </c>
      <c r="AU9" s="66">
        <v>0</v>
      </c>
      <c r="AV9" s="66">
        <f t="shared" ref="AV9:AV12" si="10">BIN2DEC(CONCATENATE(0,0,0,0,AR9,AS9,AT9,AU9))</f>
        <v>0</v>
      </c>
      <c r="AW9" s="66">
        <v>0</v>
      </c>
      <c r="AX9" s="66">
        <v>0</v>
      </c>
      <c r="AY9" s="77"/>
      <c r="AZ9" s="66"/>
      <c r="BA9" s="66"/>
      <c r="BB9" s="66"/>
      <c r="BC9" s="66"/>
      <c r="BD9" s="66"/>
      <c r="BE9" s="66"/>
      <c r="BF9" s="66"/>
      <c r="BG9" s="92" t="str">
        <f t="shared" si="8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0" spans="1:16379" s="79" customFormat="1" ht="15.75" x14ac:dyDescent="0.25">
      <c r="A10" s="64"/>
      <c r="B10" s="107" t="s">
        <v>212</v>
      </c>
      <c r="C10" s="66"/>
      <c r="D10" s="99"/>
      <c r="E10" s="68" t="s">
        <v>83</v>
      </c>
      <c r="F10" s="68" t="s">
        <v>84</v>
      </c>
      <c r="G10" s="68" t="s">
        <v>84</v>
      </c>
      <c r="H10" s="66"/>
      <c r="I10" s="68">
        <f t="shared" si="6"/>
        <v>14</v>
      </c>
      <c r="J10" s="68" t="str">
        <f t="shared" si="7"/>
        <v>Исправность LD</v>
      </c>
      <c r="K10" s="70" t="s">
        <v>85</v>
      </c>
      <c r="L10" s="71" t="s">
        <v>57</v>
      </c>
      <c r="M10" s="73" t="s">
        <v>51</v>
      </c>
      <c r="N10" s="73" t="s">
        <v>52</v>
      </c>
      <c r="O10" s="73"/>
      <c r="P10" s="93"/>
      <c r="Q10" s="93"/>
      <c r="R10" s="73" t="s">
        <v>53</v>
      </c>
      <c r="S10" s="73" t="s">
        <v>53</v>
      </c>
      <c r="T10" s="73" t="s">
        <v>53</v>
      </c>
      <c r="U10" s="73" t="s">
        <v>53</v>
      </c>
      <c r="V10" s="66"/>
      <c r="W10" s="66"/>
      <c r="X10" s="73" t="s">
        <v>53</v>
      </c>
      <c r="Y10" s="73">
        <v>0</v>
      </c>
      <c r="Z10" s="66"/>
      <c r="AA10" s="74">
        <v>0</v>
      </c>
      <c r="AB10" s="74"/>
      <c r="AC10" s="74"/>
      <c r="AD10" s="74"/>
      <c r="AE10" s="74"/>
      <c r="AF10" s="74">
        <v>0</v>
      </c>
      <c r="AG10" s="74">
        <v>0</v>
      </c>
      <c r="AH10" s="74">
        <v>0</v>
      </c>
      <c r="AI10" s="75" t="s">
        <v>96</v>
      </c>
      <c r="AJ10" s="76" t="s">
        <v>114</v>
      </c>
      <c r="AK10" s="76" t="s">
        <v>82</v>
      </c>
      <c r="AL10" s="76" t="s">
        <v>64</v>
      </c>
      <c r="AM10" s="76" t="s">
        <v>65</v>
      </c>
      <c r="AN10" s="76" t="s">
        <v>86</v>
      </c>
      <c r="AO10" s="76" t="s">
        <v>67</v>
      </c>
      <c r="AP10" s="76" t="str">
        <f t="shared" si="9"/>
        <v>LLN0.Health.stVal</v>
      </c>
      <c r="AQ10" s="76" t="s">
        <v>63</v>
      </c>
      <c r="AR10" s="66">
        <v>0</v>
      </c>
      <c r="AS10" s="66">
        <v>0</v>
      </c>
      <c r="AT10" s="66">
        <v>0</v>
      </c>
      <c r="AU10" s="66">
        <v>0</v>
      </c>
      <c r="AV10" s="66">
        <f t="shared" si="10"/>
        <v>0</v>
      </c>
      <c r="AW10" s="66">
        <v>0</v>
      </c>
      <c r="AX10" s="66">
        <v>0</v>
      </c>
      <c r="AY10" s="77"/>
      <c r="AZ10" s="66"/>
      <c r="BA10" s="66"/>
      <c r="BB10" s="66"/>
      <c r="BC10" s="66"/>
      <c r="BD10" s="66"/>
      <c r="BE10" s="66"/>
      <c r="BF10" s="66"/>
      <c r="BG10" s="92" t="str">
        <f t="shared" si="8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1" spans="1:16379" s="18" customFormat="1" ht="15.75" x14ac:dyDescent="0.25">
      <c r="A11" s="41"/>
      <c r="B11" s="107" t="s">
        <v>212</v>
      </c>
      <c r="C11" s="42"/>
      <c r="D11" s="98" t="s">
        <v>188</v>
      </c>
      <c r="E11" s="40" t="s">
        <v>168</v>
      </c>
      <c r="F11" s="40" t="s">
        <v>87</v>
      </c>
      <c r="G11" s="40" t="s">
        <v>87</v>
      </c>
      <c r="H11" s="42"/>
      <c r="I11" s="40">
        <f t="shared" si="6"/>
        <v>9</v>
      </c>
      <c r="J11" s="40" t="str">
        <f t="shared" si="7"/>
        <v>Поведение</v>
      </c>
      <c r="K11" s="43" t="s">
        <v>172</v>
      </c>
      <c r="L11" s="44" t="s">
        <v>57</v>
      </c>
      <c r="M11" s="45" t="s">
        <v>51</v>
      </c>
      <c r="N11" s="45" t="s">
        <v>52</v>
      </c>
      <c r="O11" s="45"/>
      <c r="P11" s="42"/>
      <c r="Q11" s="42"/>
      <c r="R11" s="45" t="s">
        <v>53</v>
      </c>
      <c r="S11" s="45" t="s">
        <v>53</v>
      </c>
      <c r="T11" s="45" t="s">
        <v>53</v>
      </c>
      <c r="U11" s="45" t="s">
        <v>53</v>
      </c>
      <c r="V11" s="42"/>
      <c r="W11" s="42"/>
      <c r="X11" s="45" t="s">
        <v>53</v>
      </c>
      <c r="Y11" s="45">
        <v>0</v>
      </c>
      <c r="Z11" s="42"/>
      <c r="AA11" s="39">
        <v>0</v>
      </c>
      <c r="AB11" s="39"/>
      <c r="AC11" s="39"/>
      <c r="AD11" s="39"/>
      <c r="AE11" s="39"/>
      <c r="AF11" s="39">
        <v>0</v>
      </c>
      <c r="AG11" s="39">
        <v>0</v>
      </c>
      <c r="AH11" s="39">
        <v>0</v>
      </c>
      <c r="AI11" s="48" t="s">
        <v>176</v>
      </c>
      <c r="AJ11" s="38" t="s">
        <v>179</v>
      </c>
      <c r="AK11" s="38" t="s">
        <v>82</v>
      </c>
      <c r="AL11" s="38" t="s">
        <v>64</v>
      </c>
      <c r="AM11" s="38" t="s">
        <v>65</v>
      </c>
      <c r="AN11" s="38" t="s">
        <v>66</v>
      </c>
      <c r="AO11" s="38" t="s">
        <v>67</v>
      </c>
      <c r="AP11" s="38" t="str">
        <f t="shared" si="9"/>
        <v>PTRC1.Beh.stVal</v>
      </c>
      <c r="AQ11" s="38" t="s">
        <v>63</v>
      </c>
      <c r="AR11" s="42">
        <v>0</v>
      </c>
      <c r="AS11" s="42">
        <v>0</v>
      </c>
      <c r="AT11" s="42">
        <v>0</v>
      </c>
      <c r="AU11" s="42">
        <v>0</v>
      </c>
      <c r="AV11" s="42">
        <f t="shared" si="10"/>
        <v>0</v>
      </c>
      <c r="AW11" s="42">
        <v>0</v>
      </c>
      <c r="AX11" s="42">
        <v>0</v>
      </c>
      <c r="AY11" s="47"/>
      <c r="AZ11" s="42"/>
      <c r="BA11" s="42"/>
      <c r="BB11" s="42"/>
      <c r="BC11" s="42"/>
      <c r="BD11" s="42"/>
      <c r="BE11" s="42"/>
      <c r="BF11" s="42"/>
      <c r="BG11" s="46" t="str">
        <f t="shared" si="8"/>
        <v>description: "Поведение", note: "Индикация поведения логического узла ЛО", group: "status", minValue: null, maxValue: null, step: null, units: "null", defaultValue: null, eventRegistration: 0</v>
      </c>
    </row>
    <row r="12" spans="1:16379" s="18" customFormat="1" ht="15.75" x14ac:dyDescent="0.25">
      <c r="A12" s="41"/>
      <c r="B12" s="107" t="s">
        <v>212</v>
      </c>
      <c r="C12" s="42"/>
      <c r="D12" s="98" t="s">
        <v>188</v>
      </c>
      <c r="E12" s="40" t="s">
        <v>169</v>
      </c>
      <c r="F12" s="40" t="s">
        <v>88</v>
      </c>
      <c r="G12" s="40" t="s">
        <v>88</v>
      </c>
      <c r="H12" s="42"/>
      <c r="I12" s="40">
        <f t="shared" si="6"/>
        <v>11</v>
      </c>
      <c r="J12" s="40" t="str">
        <f t="shared" si="7"/>
        <v>Исправность</v>
      </c>
      <c r="K12" s="43" t="s">
        <v>173</v>
      </c>
      <c r="L12" s="44" t="s">
        <v>57</v>
      </c>
      <c r="M12" s="45" t="s">
        <v>51</v>
      </c>
      <c r="N12" s="45" t="s">
        <v>52</v>
      </c>
      <c r="O12" s="45"/>
      <c r="P12" s="31"/>
      <c r="Q12" s="31"/>
      <c r="R12" s="45" t="s">
        <v>53</v>
      </c>
      <c r="S12" s="45" t="s">
        <v>53</v>
      </c>
      <c r="T12" s="45" t="s">
        <v>53</v>
      </c>
      <c r="U12" s="45" t="s">
        <v>53</v>
      </c>
      <c r="V12" s="42"/>
      <c r="W12" s="42"/>
      <c r="X12" s="45" t="s">
        <v>53</v>
      </c>
      <c r="Y12" s="45">
        <v>0</v>
      </c>
      <c r="Z12" s="42"/>
      <c r="AA12" s="39">
        <v>0</v>
      </c>
      <c r="AB12" s="39"/>
      <c r="AC12" s="39"/>
      <c r="AD12" s="39"/>
      <c r="AE12" s="39"/>
      <c r="AF12" s="39">
        <v>0</v>
      </c>
      <c r="AG12" s="39">
        <v>0</v>
      </c>
      <c r="AH12" s="39">
        <v>0</v>
      </c>
      <c r="AI12" s="48" t="s">
        <v>176</v>
      </c>
      <c r="AJ12" s="38" t="s">
        <v>180</v>
      </c>
      <c r="AK12" s="38" t="s">
        <v>82</v>
      </c>
      <c r="AL12" s="38" t="s">
        <v>64</v>
      </c>
      <c r="AM12" s="38" t="s">
        <v>65</v>
      </c>
      <c r="AN12" s="38" t="s">
        <v>86</v>
      </c>
      <c r="AO12" s="38" t="s">
        <v>67</v>
      </c>
      <c r="AP12" s="38" t="str">
        <f t="shared" si="9"/>
        <v>PTRC1.Health.stVal</v>
      </c>
      <c r="AQ12" s="38" t="s">
        <v>63</v>
      </c>
      <c r="AR12" s="42">
        <v>0</v>
      </c>
      <c r="AS12" s="42">
        <v>0</v>
      </c>
      <c r="AT12" s="42">
        <v>0</v>
      </c>
      <c r="AU12" s="42">
        <v>0</v>
      </c>
      <c r="AV12" s="42">
        <f t="shared" si="10"/>
        <v>0</v>
      </c>
      <c r="AW12" s="42">
        <v>0</v>
      </c>
      <c r="AX12" s="42">
        <v>0</v>
      </c>
      <c r="AY12" s="47"/>
      <c r="AZ12" s="42"/>
      <c r="BA12" s="42"/>
      <c r="BB12" s="42"/>
      <c r="BC12" s="42"/>
      <c r="BD12" s="42"/>
      <c r="BE12" s="42"/>
      <c r="BF12" s="42"/>
      <c r="BG12" s="46" t="str">
        <f t="shared" si="8"/>
        <v>description: "Исправность", note: "Индикация исправности логического узла ЛО", group: "status", minValue: null, maxValue: null, step: null, units: "null", defaultValue: null, eventRegistration: 0</v>
      </c>
    </row>
    <row r="13" spans="1:16379" s="79" customFormat="1" ht="15.75" x14ac:dyDescent="0.25">
      <c r="A13" s="64"/>
      <c r="B13" s="107" t="s">
        <v>212</v>
      </c>
      <c r="C13" s="66"/>
      <c r="D13" s="99" t="s">
        <v>189</v>
      </c>
      <c r="E13" s="68" t="s">
        <v>170</v>
      </c>
      <c r="F13" s="68" t="s">
        <v>87</v>
      </c>
      <c r="G13" s="68" t="s">
        <v>87</v>
      </c>
      <c r="H13" s="66"/>
      <c r="I13" s="68">
        <f t="shared" si="6"/>
        <v>9</v>
      </c>
      <c r="J13" s="68" t="str">
        <f t="shared" si="7"/>
        <v>Поведение</v>
      </c>
      <c r="K13" s="70" t="s">
        <v>174</v>
      </c>
      <c r="L13" s="71" t="s">
        <v>57</v>
      </c>
      <c r="M13" s="73" t="s">
        <v>51</v>
      </c>
      <c r="N13" s="73" t="s">
        <v>52</v>
      </c>
      <c r="O13" s="73"/>
      <c r="P13" s="66"/>
      <c r="Q13" s="66"/>
      <c r="R13" s="73" t="s">
        <v>53</v>
      </c>
      <c r="S13" s="73" t="s">
        <v>53</v>
      </c>
      <c r="T13" s="73" t="s">
        <v>53</v>
      </c>
      <c r="U13" s="73" t="s">
        <v>53</v>
      </c>
      <c r="V13" s="66"/>
      <c r="W13" s="66"/>
      <c r="X13" s="73" t="s">
        <v>53</v>
      </c>
      <c r="Y13" s="73">
        <v>0</v>
      </c>
      <c r="Z13" s="66"/>
      <c r="AA13" s="74">
        <v>0</v>
      </c>
      <c r="AB13" s="74"/>
      <c r="AC13" s="74"/>
      <c r="AD13" s="74"/>
      <c r="AE13" s="74"/>
      <c r="AF13" s="74">
        <v>0</v>
      </c>
      <c r="AG13" s="74">
        <v>0</v>
      </c>
      <c r="AH13" s="74">
        <v>0</v>
      </c>
      <c r="AI13" s="75" t="s">
        <v>177</v>
      </c>
      <c r="AJ13" s="76" t="s">
        <v>181</v>
      </c>
      <c r="AK13" s="76" t="s">
        <v>82</v>
      </c>
      <c r="AL13" s="76" t="s">
        <v>64</v>
      </c>
      <c r="AM13" s="76" t="s">
        <v>65</v>
      </c>
      <c r="AN13" s="76" t="s">
        <v>66</v>
      </c>
      <c r="AO13" s="76" t="s">
        <v>67</v>
      </c>
      <c r="AP13" s="76" t="str">
        <f t="shared" ref="AP13:AP14" si="11">CONCATENATE(AJ13, ".", AL13)</f>
        <v>RBRE1.Beh.stVal</v>
      </c>
      <c r="AQ13" s="76" t="s">
        <v>63</v>
      </c>
      <c r="AR13" s="66">
        <v>0</v>
      </c>
      <c r="AS13" s="66">
        <v>0</v>
      </c>
      <c r="AT13" s="66">
        <v>0</v>
      </c>
      <c r="AU13" s="66">
        <v>0</v>
      </c>
      <c r="AV13" s="66">
        <f t="shared" ref="AV13:AV14" si="12">BIN2DEC(CONCATENATE(0,0,0,0,AR13,AS13,AT13,AU13))</f>
        <v>0</v>
      </c>
      <c r="AW13" s="66">
        <v>0</v>
      </c>
      <c r="AX13" s="66">
        <v>0</v>
      </c>
      <c r="AY13" s="77"/>
      <c r="AZ13" s="66"/>
      <c r="BA13" s="66"/>
      <c r="BB13" s="66"/>
      <c r="BC13" s="66"/>
      <c r="BD13" s="66"/>
      <c r="BE13" s="66"/>
      <c r="BF13" s="66"/>
      <c r="BG13" s="92" t="str">
        <f t="shared" si="8"/>
        <v>description: "Поведение", note: "Индикация поведения логического узла ЗАПВ", group: "status", minValue: null, maxValue: null, step: null, units: "null", defaultValue: null, eventRegistration: 0</v>
      </c>
    </row>
    <row r="14" spans="1:16379" s="79" customFormat="1" ht="15.75" x14ac:dyDescent="0.25">
      <c r="A14" s="64"/>
      <c r="B14" s="107" t="s">
        <v>212</v>
      </c>
      <c r="C14" s="66"/>
      <c r="D14" s="99" t="s">
        <v>189</v>
      </c>
      <c r="E14" s="68" t="s">
        <v>171</v>
      </c>
      <c r="F14" s="68" t="s">
        <v>88</v>
      </c>
      <c r="G14" s="68" t="s">
        <v>88</v>
      </c>
      <c r="H14" s="66"/>
      <c r="I14" s="68">
        <f t="shared" si="6"/>
        <v>11</v>
      </c>
      <c r="J14" s="68" t="str">
        <f t="shared" si="7"/>
        <v>Исправность</v>
      </c>
      <c r="K14" s="70" t="s">
        <v>175</v>
      </c>
      <c r="L14" s="71" t="s">
        <v>57</v>
      </c>
      <c r="M14" s="73" t="s">
        <v>51</v>
      </c>
      <c r="N14" s="73" t="s">
        <v>52</v>
      </c>
      <c r="O14" s="73"/>
      <c r="P14" s="93"/>
      <c r="Q14" s="93"/>
      <c r="R14" s="73" t="s">
        <v>53</v>
      </c>
      <c r="S14" s="73" t="s">
        <v>53</v>
      </c>
      <c r="T14" s="73" t="s">
        <v>53</v>
      </c>
      <c r="U14" s="73" t="s">
        <v>53</v>
      </c>
      <c r="V14" s="66"/>
      <c r="W14" s="66"/>
      <c r="X14" s="73" t="s">
        <v>53</v>
      </c>
      <c r="Y14" s="73">
        <v>0</v>
      </c>
      <c r="Z14" s="66"/>
      <c r="AA14" s="74">
        <v>0</v>
      </c>
      <c r="AB14" s="74"/>
      <c r="AC14" s="74"/>
      <c r="AD14" s="74"/>
      <c r="AE14" s="74"/>
      <c r="AF14" s="74">
        <v>0</v>
      </c>
      <c r="AG14" s="74">
        <v>0</v>
      </c>
      <c r="AH14" s="74">
        <v>0</v>
      </c>
      <c r="AI14" s="75" t="s">
        <v>177</v>
      </c>
      <c r="AJ14" s="76" t="s">
        <v>182</v>
      </c>
      <c r="AK14" s="76" t="s">
        <v>82</v>
      </c>
      <c r="AL14" s="76" t="s">
        <v>64</v>
      </c>
      <c r="AM14" s="76" t="s">
        <v>65</v>
      </c>
      <c r="AN14" s="76" t="s">
        <v>86</v>
      </c>
      <c r="AO14" s="76" t="s">
        <v>67</v>
      </c>
      <c r="AP14" s="76" t="str">
        <f t="shared" si="11"/>
        <v>RBRE1.Health.stVal</v>
      </c>
      <c r="AQ14" s="76" t="s">
        <v>63</v>
      </c>
      <c r="AR14" s="66">
        <v>0</v>
      </c>
      <c r="AS14" s="66">
        <v>0</v>
      </c>
      <c r="AT14" s="66">
        <v>0</v>
      </c>
      <c r="AU14" s="66">
        <v>0</v>
      </c>
      <c r="AV14" s="66">
        <f t="shared" si="12"/>
        <v>0</v>
      </c>
      <c r="AW14" s="66">
        <v>0</v>
      </c>
      <c r="AX14" s="66">
        <v>0</v>
      </c>
      <c r="AY14" s="77"/>
      <c r="AZ14" s="66"/>
      <c r="BA14" s="66"/>
      <c r="BB14" s="66"/>
      <c r="BC14" s="66"/>
      <c r="BD14" s="66"/>
      <c r="BE14" s="66"/>
      <c r="BF14" s="66"/>
      <c r="BG14" s="92" t="str">
        <f t="shared" si="8"/>
        <v>description: "Исправность", note: "Индикация исправности логического узла ЗАПВ", group: "status", minValue: null, maxValue: null, step: null, units: "null", defaultValue: null, eventRegistration: 0</v>
      </c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9"/>
      <c r="BC15" s="4"/>
      <c r="BD15" s="19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9"/>
      <c r="BC16" s="4"/>
      <c r="BD16" s="19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9"/>
      <c r="BC17" s="4"/>
      <c r="BD17" s="19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9"/>
      <c r="BC18" s="4"/>
      <c r="BD18" s="19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9"/>
      <c r="BC19" s="4"/>
      <c r="BD19" s="19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9"/>
      <c r="BC20" s="4"/>
      <c r="BD20" s="19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9"/>
      <c r="BC21" s="4"/>
      <c r="BD21" s="1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9"/>
      <c r="BC22" s="4"/>
      <c r="BD22" s="1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9"/>
      <c r="BC23" s="4"/>
      <c r="BD23" s="1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9"/>
      <c r="BC24" s="4"/>
      <c r="BD24" s="1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9"/>
      <c r="BC25" s="4"/>
      <c r="BD25" s="1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9"/>
      <c r="BC26" s="4"/>
      <c r="BD26" s="1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9"/>
      <c r="BC27" s="4"/>
      <c r="BD27" s="1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9"/>
      <c r="BC28" s="4"/>
      <c r="BD28" s="1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9"/>
      <c r="BC29" s="4"/>
      <c r="BD29" s="1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9"/>
      <c r="BC30" s="4"/>
      <c r="BD30" s="1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9"/>
      <c r="BC31" s="4"/>
      <c r="BD31" s="1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9"/>
      <c r="BC32" s="4"/>
      <c r="BD32" s="1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9"/>
      <c r="BC33" s="4"/>
      <c r="BD33" s="1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9"/>
      <c r="BC34" s="4"/>
      <c r="BD34" s="1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9"/>
      <c r="BC35" s="4"/>
      <c r="BD35" s="1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9"/>
      <c r="BC36" s="4"/>
      <c r="BD36" s="1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9"/>
      <c r="BC37" s="4"/>
      <c r="BD37" s="1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9"/>
      <c r="BC38" s="4"/>
      <c r="BD38" s="1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9"/>
      <c r="BC39" s="4"/>
      <c r="BD39" s="1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9"/>
      <c r="BC40" s="4"/>
      <c r="BD40" s="1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9"/>
      <c r="BC41" s="4"/>
      <c r="BD41" s="1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9"/>
      <c r="BC42" s="4"/>
      <c r="BD42" s="1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9"/>
      <c r="BC43" s="4"/>
      <c r="BD43" s="1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9"/>
      <c r="BC44" s="4"/>
      <c r="BD44" s="1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9"/>
      <c r="BC45" s="4"/>
      <c r="BD45" s="1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9"/>
      <c r="BC46" s="4"/>
      <c r="BD46" s="1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9"/>
      <c r="BC47" s="4"/>
      <c r="BD47" s="1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9"/>
      <c r="BC48" s="4"/>
      <c r="BD48" s="1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9"/>
      <c r="BC49" s="4"/>
      <c r="BD49" s="1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9"/>
      <c r="BC50" s="4"/>
      <c r="BD50" s="1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9"/>
      <c r="BC51" s="4"/>
      <c r="BD51" s="1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9"/>
      <c r="BC52" s="4"/>
      <c r="BD52" s="1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9"/>
      <c r="BC53" s="4"/>
      <c r="BD53" s="1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9"/>
      <c r="BC54" s="4"/>
      <c r="BD54" s="1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9"/>
      <c r="BC55" s="4"/>
      <c r="BD55" s="1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9"/>
      <c r="BC56" s="4"/>
      <c r="BD56" s="1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9"/>
      <c r="BC57" s="4"/>
      <c r="BD57" s="1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9"/>
      <c r="BC58" s="4"/>
      <c r="BD58" s="1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9"/>
      <c r="BC59" s="4"/>
      <c r="BD59" s="1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9"/>
      <c r="BC60" s="4"/>
      <c r="BD60" s="1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9"/>
      <c r="BC61" s="4"/>
      <c r="BD61" s="1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9"/>
      <c r="BC62" s="4"/>
      <c r="BD62" s="1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9"/>
      <c r="BC63" s="4"/>
      <c r="BD63" s="1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9"/>
      <c r="BC64" s="4"/>
      <c r="BD64" s="1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9"/>
      <c r="BC65" s="4"/>
      <c r="BD65" s="1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9"/>
      <c r="BC66" s="4"/>
      <c r="BD66" s="1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9"/>
      <c r="BC67" s="4"/>
      <c r="BD67" s="1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9"/>
      <c r="BC68" s="4"/>
      <c r="BD68" s="1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9"/>
      <c r="BC69" s="4"/>
      <c r="BD69" s="1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9"/>
      <c r="BC70" s="4"/>
      <c r="BD70" s="1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9"/>
      <c r="BC71" s="4"/>
      <c r="BD71" s="1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9"/>
      <c r="BC72" s="4"/>
      <c r="BD72" s="1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9"/>
      <c r="BC73" s="4"/>
      <c r="BD73" s="1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9"/>
      <c r="BC74" s="4"/>
      <c r="BD74" s="1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9"/>
      <c r="BC75" s="4"/>
      <c r="BD75" s="1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9"/>
      <c r="BC76" s="4"/>
      <c r="BD76" s="1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9"/>
      <c r="BC77" s="4"/>
      <c r="BD77" s="1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9"/>
      <c r="BC78" s="4"/>
      <c r="BD78" s="1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9"/>
      <c r="BC79" s="4"/>
      <c r="BD79" s="1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9"/>
      <c r="BC80" s="4"/>
      <c r="BD80" s="1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9"/>
      <c r="BC81" s="4"/>
      <c r="BD81" s="1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9"/>
      <c r="BC82" s="4"/>
      <c r="BD82" s="1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9"/>
      <c r="BC83" s="4"/>
      <c r="BD83" s="1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9"/>
      <c r="BC84" s="4"/>
      <c r="BD84" s="1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9"/>
      <c r="BC85" s="4"/>
      <c r="BD85" s="1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9"/>
      <c r="BC86" s="4"/>
      <c r="BD86" s="1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9"/>
      <c r="BC87" s="4"/>
      <c r="BD87" s="1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9"/>
      <c r="BC88" s="4"/>
      <c r="BD88" s="1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9"/>
      <c r="BC89" s="4"/>
      <c r="BD89" s="1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9"/>
      <c r="BC90" s="4"/>
      <c r="BD90" s="1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9"/>
      <c r="BC91" s="4"/>
      <c r="BD91" s="1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9"/>
      <c r="BC92" s="4"/>
      <c r="BD92" s="1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9"/>
      <c r="BC93" s="4"/>
      <c r="BD93" s="1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9"/>
      <c r="BC94" s="4"/>
      <c r="BD94" s="1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9"/>
      <c r="BC95" s="4"/>
      <c r="BD95" s="1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9"/>
      <c r="BC96" s="4"/>
      <c r="BD96" s="1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9"/>
      <c r="BC97" s="4"/>
      <c r="BD97" s="1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9"/>
      <c r="BC98" s="4"/>
      <c r="BD98" s="1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9"/>
      <c r="BC99" s="4"/>
      <c r="BD99" s="1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9"/>
      <c r="BC100" s="4"/>
      <c r="BD100" s="1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9"/>
      <c r="BC101" s="4"/>
      <c r="BD101" s="1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9"/>
      <c r="BC102" s="4"/>
      <c r="BD102" s="1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9"/>
      <c r="BC103" s="4"/>
      <c r="BD103" s="1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9"/>
      <c r="BC104" s="4"/>
      <c r="BD104" s="1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9"/>
      <c r="BC105" s="4"/>
      <c r="BD105" s="1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9"/>
      <c r="BC106" s="4"/>
      <c r="BD106" s="1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9"/>
      <c r="BC107" s="4"/>
      <c r="BD107" s="1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9"/>
      <c r="BC108" s="4"/>
      <c r="BD108" s="1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9"/>
      <c r="BC109" s="4"/>
      <c r="BD109" s="1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9"/>
      <c r="BC110" s="4"/>
      <c r="BD110" s="1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9"/>
      <c r="BC111" s="4"/>
      <c r="BD111" s="1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9"/>
      <c r="BC112" s="4"/>
      <c r="BD112" s="1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9"/>
      <c r="BC113" s="4"/>
      <c r="BD113" s="1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9"/>
      <c r="BC114" s="4"/>
      <c r="BD114" s="1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9"/>
      <c r="BC115" s="4"/>
      <c r="BD115" s="1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9"/>
      <c r="BC116" s="4"/>
      <c r="BD116" s="1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9"/>
      <c r="BC117" s="4"/>
      <c r="BD117" s="1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9"/>
      <c r="BC118" s="4"/>
      <c r="BD118" s="1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9"/>
      <c r="BC119" s="4"/>
      <c r="BD119" s="1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9"/>
      <c r="BC120" s="4"/>
      <c r="BD120" s="1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9"/>
      <c r="BC121" s="4"/>
      <c r="BD121" s="1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9"/>
      <c r="BC122" s="4"/>
      <c r="BD122" s="1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9"/>
      <c r="BC123" s="4"/>
      <c r="BD123" s="1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9"/>
      <c r="BC124" s="4"/>
      <c r="BD124" s="1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9"/>
      <c r="BC125" s="4"/>
      <c r="BD125" s="1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9"/>
      <c r="BC126" s="4"/>
      <c r="BD126" s="1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9"/>
      <c r="BC127" s="4"/>
      <c r="BD127" s="1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9"/>
      <c r="BC128" s="4"/>
      <c r="BD128" s="1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9"/>
      <c r="BC129" s="4"/>
      <c r="BD129" s="1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9"/>
      <c r="BC130" s="4"/>
      <c r="BD130" s="1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9"/>
      <c r="BC131" s="4"/>
      <c r="BD131" s="1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9"/>
      <c r="BC132" s="4"/>
      <c r="BD132" s="1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9"/>
      <c r="BC133" s="4"/>
      <c r="BD133" s="1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9"/>
      <c r="BC134" s="4"/>
      <c r="BD134" s="1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9"/>
      <c r="BC135" s="4"/>
      <c r="BD135" s="1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9"/>
      <c r="BC136" s="4"/>
      <c r="BD136" s="1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9"/>
      <c r="BC137" s="4"/>
      <c r="BD137" s="1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9"/>
      <c r="BC138" s="4"/>
      <c r="BD138" s="1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9"/>
      <c r="BC139" s="4"/>
      <c r="BD139" s="1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9"/>
      <c r="BC140" s="4"/>
      <c r="BD140" s="1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9"/>
      <c r="BC141" s="4"/>
      <c r="BD141" s="1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9"/>
      <c r="BC142" s="4"/>
      <c r="BD142" s="1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9"/>
      <c r="BC143" s="4"/>
      <c r="BD143" s="1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9"/>
      <c r="BC144" s="4"/>
      <c r="BD144" s="1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9"/>
      <c r="BC145" s="4"/>
      <c r="BD145" s="1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9"/>
      <c r="BC146" s="4"/>
      <c r="BD146" s="1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9"/>
      <c r="BC147" s="4"/>
      <c r="BD147" s="1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9"/>
      <c r="BC148" s="4"/>
      <c r="BD148" s="1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9"/>
      <c r="BC149" s="4"/>
      <c r="BD149" s="1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9"/>
      <c r="BC150" s="4"/>
      <c r="BD150" s="1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9"/>
      <c r="BC151" s="4"/>
      <c r="BD151" s="1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9"/>
      <c r="BC152" s="4"/>
      <c r="BD152" s="1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9"/>
      <c r="BC153" s="4"/>
      <c r="BD153" s="1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9"/>
      <c r="BC154" s="4"/>
      <c r="BD154" s="1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9"/>
      <c r="BC155" s="4"/>
      <c r="BD155" s="1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9"/>
      <c r="BC156" s="4"/>
      <c r="BD156" s="1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9"/>
      <c r="BC157" s="4"/>
      <c r="BD157" s="1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9"/>
      <c r="BC158" s="4"/>
      <c r="BD158" s="1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9"/>
      <c r="BC159" s="4"/>
      <c r="BD159" s="1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9"/>
      <c r="BC160" s="4"/>
      <c r="BD160" s="1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9"/>
      <c r="BC161" s="4"/>
      <c r="BD161" s="1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9"/>
      <c r="BC162" s="4"/>
      <c r="BD162" s="1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9"/>
      <c r="BC163" s="4"/>
      <c r="BD163" s="1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9"/>
      <c r="BC164" s="4"/>
      <c r="BD164" s="1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9"/>
      <c r="BC165" s="4"/>
      <c r="BD165" s="1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9"/>
      <c r="BC166" s="4"/>
      <c r="BD166" s="1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9"/>
      <c r="BC167" s="4"/>
      <c r="BD167" s="1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9"/>
      <c r="BC168" s="4"/>
      <c r="BD168" s="1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9"/>
      <c r="BC169" s="4"/>
      <c r="BD169" s="1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9"/>
      <c r="BC170" s="4"/>
      <c r="BD170" s="1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9"/>
      <c r="BC171" s="4"/>
      <c r="BD171" s="1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9"/>
      <c r="BC172" s="4"/>
      <c r="BD172" s="1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9"/>
      <c r="BC173" s="4"/>
      <c r="BD173" s="1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9"/>
      <c r="BC174" s="4"/>
      <c r="BD174" s="1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9"/>
      <c r="BC175" s="4"/>
      <c r="BD175" s="1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19"/>
      <c r="BC176" s="4"/>
      <c r="BD176" s="1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19"/>
      <c r="BC177" s="4"/>
      <c r="BD177" s="1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19"/>
      <c r="BC178" s="4"/>
      <c r="BD178" s="1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9"/>
      <c r="BC179" s="4"/>
      <c r="BD179" s="1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9"/>
      <c r="BC180" s="4"/>
      <c r="BD180" s="1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9"/>
      <c r="BC181" s="4"/>
      <c r="BD181" s="1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9"/>
      <c r="BC182" s="4"/>
      <c r="BD182" s="1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9"/>
      <c r="BC183" s="4"/>
      <c r="BD183" s="19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9"/>
      <c r="BC184" s="4"/>
      <c r="BD184" s="19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9"/>
      <c r="BC185" s="4"/>
      <c r="BD185" s="19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9"/>
      <c r="BC186" s="4"/>
      <c r="BD186" s="19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9"/>
      <c r="BC187" s="4"/>
      <c r="BD187" s="19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9"/>
      <c r="BC188" s="4"/>
      <c r="BD188" s="19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9"/>
      <c r="BC189" s="4"/>
      <c r="BD189" s="19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9"/>
      <c r="BC190" s="4"/>
      <c r="BD190" s="19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9"/>
      <c r="BC191" s="4"/>
      <c r="BD191" s="19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9"/>
      <c r="BC192" s="4"/>
      <c r="BD192" s="19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9"/>
      <c r="BC193" s="4"/>
      <c r="BD193" s="19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9"/>
      <c r="BC194" s="4"/>
      <c r="BD194" s="19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9"/>
      <c r="BC195" s="4"/>
      <c r="BD195" s="19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9"/>
      <c r="BC196" s="4"/>
      <c r="BD196" s="19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9"/>
      <c r="BC197" s="4"/>
      <c r="BD197" s="19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9"/>
      <c r="BC198" s="4"/>
      <c r="BD198" s="19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9"/>
      <c r="BC199" s="4"/>
      <c r="BD199" s="19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9"/>
      <c r="BC200" s="4"/>
      <c r="BD200" s="19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9"/>
      <c r="BC201" s="4"/>
      <c r="BD201" s="19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9"/>
      <c r="BC202" s="4"/>
      <c r="BD202" s="19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9"/>
      <c r="BC203" s="4"/>
      <c r="BD203" s="19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9"/>
      <c r="BC204" s="4"/>
      <c r="BD204" s="19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9"/>
      <c r="BC205" s="4"/>
      <c r="BD205" s="19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9"/>
      <c r="BC206" s="4"/>
      <c r="BD206" s="19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9"/>
      <c r="BC207" s="4"/>
      <c r="BD207" s="19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9"/>
      <c r="BC208" s="4"/>
      <c r="BD208" s="19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9"/>
      <c r="BC209" s="4"/>
      <c r="BD209" s="19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9"/>
      <c r="BC210" s="4"/>
      <c r="BD210" s="19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9"/>
      <c r="BC211" s="4"/>
      <c r="BD211" s="19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9"/>
      <c r="BC212" s="4"/>
      <c r="BD212" s="19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9"/>
      <c r="BC213" s="4"/>
      <c r="BD213" s="19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9"/>
      <c r="BC214" s="4"/>
      <c r="BD214" s="19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19"/>
      <c r="BC215" s="4"/>
      <c r="BD215" s="19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19"/>
      <c r="BC216" s="4"/>
      <c r="BD216" s="19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19"/>
      <c r="BC217" s="4"/>
      <c r="BD217" s="19"/>
      <c r="BE217" s="4"/>
      <c r="BF217" s="4"/>
      <c r="BG217" s="1"/>
      <c r="BH21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3"/>
  <sheetViews>
    <sheetView zoomScale="80" zoomScaleNormal="80" workbookViewId="0">
      <selection activeCell="D4" sqref="D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2" style="2" customWidth="1" outlineLevel="1"/>
    <col min="7" max="7" width="19.5703125" style="2" bestFit="1" customWidth="1" outlineLevel="1"/>
    <col min="8" max="8" width="41.85546875" style="2" customWidth="1" outlineLevel="1"/>
    <col min="9" max="9" width="10" style="2" customWidth="1"/>
    <col min="10" max="10" width="35.140625" style="2" bestFit="1" customWidth="1"/>
    <col min="11" max="11" width="29.140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9" style="2" customWidth="1" outlineLevel="1"/>
    <col min="17" max="17" width="26.85546875" style="2" customWidth="1" outlineLevel="1"/>
    <col min="18" max="18" width="9.140625" style="3" customWidth="1" outlineLevel="1"/>
    <col min="19" max="19" width="9.5703125" style="4" customWidth="1" outlineLevel="1"/>
    <col min="20" max="20" width="11.28515625" style="4" customWidth="1" outlineLevel="1"/>
    <col min="21" max="21" width="8.28515625" style="4" customWidth="1" outlineLevel="1"/>
    <col min="22" max="22" width="12.5703125" style="4" customWidth="1" outlineLevel="1"/>
    <col min="23" max="23" width="13.5703125" style="4" customWidth="1" outlineLevel="1"/>
    <col min="24" max="24" width="13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customWidth="1"/>
    <col min="35" max="35" width="15.85546875" style="1" bestFit="1" customWidth="1"/>
    <col min="36" max="36" width="24.5703125" style="2" customWidth="1"/>
    <col min="37" max="37" width="26.42578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9" hidden="1" customWidth="1" outlineLevel="1"/>
    <col min="55" max="55" width="13.28515625" style="4" hidden="1" customWidth="1" outlineLevel="1"/>
    <col min="56" max="56" width="13" style="1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SUM(AA4:AA40)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109" t="s">
        <v>0</v>
      </c>
      <c r="BA1" s="110"/>
      <c r="BB1" s="110"/>
      <c r="BC1" s="110"/>
      <c r="BD1" s="110"/>
      <c r="BE1" s="110"/>
      <c r="BF1" s="110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10" t="s">
        <v>7</v>
      </c>
      <c r="I2" s="10" t="s">
        <v>8</v>
      </c>
      <c r="J2" s="10" t="s">
        <v>104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102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74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98</v>
      </c>
      <c r="AC2" s="15" t="s">
        <v>99</v>
      </c>
      <c r="AD2" s="15" t="s">
        <v>100</v>
      </c>
      <c r="AE2" s="15" t="s">
        <v>101</v>
      </c>
      <c r="AF2" s="15" t="s">
        <v>24</v>
      </c>
      <c r="AG2" s="15" t="s">
        <v>25</v>
      </c>
      <c r="AH2" s="14" t="s">
        <v>26</v>
      </c>
      <c r="AI2" s="25" t="s">
        <v>97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14" t="s">
        <v>39</v>
      </c>
      <c r="AW2" s="14" t="s">
        <v>40</v>
      </c>
      <c r="AX2" s="14" t="s">
        <v>41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94" customFormat="1" ht="15.75" x14ac:dyDescent="0.25">
      <c r="A3" s="41"/>
      <c r="B3" s="41" t="s">
        <v>89</v>
      </c>
      <c r="C3" s="45"/>
      <c r="D3" s="98" t="s">
        <v>188</v>
      </c>
      <c r="E3" s="40" t="s">
        <v>185</v>
      </c>
      <c r="F3" s="40" t="s">
        <v>111</v>
      </c>
      <c r="G3" s="40" t="s">
        <v>115</v>
      </c>
      <c r="H3" s="40" t="s">
        <v>105</v>
      </c>
      <c r="I3" s="40">
        <f>LEN(F3)</f>
        <v>12</v>
      </c>
      <c r="J3" s="40" t="str">
        <f>IF(LEN(F3)&lt;=$J$1,F3,"")</f>
        <v>Ввод_функции</v>
      </c>
      <c r="K3" s="41" t="s">
        <v>186</v>
      </c>
      <c r="L3" s="44" t="s">
        <v>54</v>
      </c>
      <c r="M3" s="45" t="s">
        <v>52</v>
      </c>
      <c r="N3" s="45" t="s">
        <v>52</v>
      </c>
      <c r="O3" s="45"/>
      <c r="P3" s="47">
        <v>0</v>
      </c>
      <c r="Q3" s="47"/>
      <c r="R3" s="45" t="s">
        <v>53</v>
      </c>
      <c r="S3" s="45">
        <v>0</v>
      </c>
      <c r="T3" s="45">
        <v>1</v>
      </c>
      <c r="U3" s="45">
        <v>1</v>
      </c>
      <c r="V3" s="45"/>
      <c r="W3" s="45"/>
      <c r="X3" s="45">
        <v>0</v>
      </c>
      <c r="Y3" s="45">
        <v>0</v>
      </c>
      <c r="Z3" s="43"/>
      <c r="AA3" s="39">
        <v>0</v>
      </c>
      <c r="AB3" s="39"/>
      <c r="AC3" s="39"/>
      <c r="AD3" s="39"/>
      <c r="AE3" s="39"/>
      <c r="AF3" s="39">
        <v>0</v>
      </c>
      <c r="AG3" s="39">
        <v>0</v>
      </c>
      <c r="AH3" s="39">
        <v>0</v>
      </c>
      <c r="AI3" s="39"/>
      <c r="AJ3" s="42"/>
      <c r="AK3" s="42"/>
      <c r="AL3" s="42"/>
      <c r="AM3" s="42"/>
      <c r="AN3" s="42"/>
      <c r="AO3" s="42"/>
      <c r="AP3" s="42"/>
      <c r="AQ3" s="42"/>
      <c r="AR3" s="42">
        <v>0</v>
      </c>
      <c r="AS3" s="42">
        <v>0</v>
      </c>
      <c r="AT3" s="42">
        <v>0</v>
      </c>
      <c r="AU3" s="42">
        <v>0</v>
      </c>
      <c r="AV3" s="42">
        <f>BIN2DEC(CONCATENATE(0,0,0,0,AR3,AS3,AT3,AU3))</f>
        <v>0</v>
      </c>
      <c r="AW3" s="42" t="s">
        <v>106</v>
      </c>
      <c r="AX3" s="42"/>
      <c r="AY3" s="47"/>
      <c r="AZ3" s="42"/>
      <c r="BA3" s="42"/>
      <c r="BB3" s="42"/>
      <c r="BC3" s="42"/>
      <c r="BD3" s="42"/>
      <c r="BE3" s="42"/>
      <c r="BF3" s="42"/>
      <c r="BG3" s="46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94" customFormat="1" ht="15.75" x14ac:dyDescent="0.25">
      <c r="A4" s="41"/>
      <c r="B4" s="41" t="s">
        <v>89</v>
      </c>
      <c r="C4" s="45"/>
      <c r="D4" s="98" t="s">
        <v>189</v>
      </c>
      <c r="E4" s="40" t="s">
        <v>185</v>
      </c>
      <c r="F4" s="40" t="s">
        <v>111</v>
      </c>
      <c r="G4" s="40" t="s">
        <v>115</v>
      </c>
      <c r="H4" s="40" t="s">
        <v>105</v>
      </c>
      <c r="I4" s="40">
        <f>LEN(F4)</f>
        <v>12</v>
      </c>
      <c r="J4" s="40" t="str">
        <f>IF(LEN(F4)&lt;=$J$1,F4,"")</f>
        <v>Ввод_функции</v>
      </c>
      <c r="K4" s="41" t="s">
        <v>187</v>
      </c>
      <c r="L4" s="44" t="s">
        <v>54</v>
      </c>
      <c r="M4" s="45" t="s">
        <v>52</v>
      </c>
      <c r="N4" s="45" t="s">
        <v>52</v>
      </c>
      <c r="O4" s="45"/>
      <c r="P4" s="47">
        <v>0</v>
      </c>
      <c r="Q4" s="47"/>
      <c r="R4" s="45" t="s">
        <v>53</v>
      </c>
      <c r="S4" s="45">
        <v>0</v>
      </c>
      <c r="T4" s="45">
        <v>1</v>
      </c>
      <c r="U4" s="45">
        <v>1</v>
      </c>
      <c r="V4" s="45"/>
      <c r="W4" s="45"/>
      <c r="X4" s="45">
        <v>0</v>
      </c>
      <c r="Y4" s="45">
        <v>0</v>
      </c>
      <c r="Z4" s="43"/>
      <c r="AA4" s="39">
        <v>0</v>
      </c>
      <c r="AB4" s="39"/>
      <c r="AC4" s="39"/>
      <c r="AD4" s="39"/>
      <c r="AE4" s="39"/>
      <c r="AF4" s="39">
        <v>0</v>
      </c>
      <c r="AG4" s="39">
        <v>0</v>
      </c>
      <c r="AH4" s="39">
        <v>0</v>
      </c>
      <c r="AI4" s="39"/>
      <c r="AJ4" s="42"/>
      <c r="AK4" s="42"/>
      <c r="AL4" s="42"/>
      <c r="AM4" s="42"/>
      <c r="AN4" s="42"/>
      <c r="AO4" s="42"/>
      <c r="AP4" s="42"/>
      <c r="AQ4" s="42"/>
      <c r="AR4" s="42">
        <v>0</v>
      </c>
      <c r="AS4" s="42">
        <v>0</v>
      </c>
      <c r="AT4" s="42">
        <v>0</v>
      </c>
      <c r="AU4" s="42">
        <v>0</v>
      </c>
      <c r="AV4" s="42">
        <f>BIN2DEC(CONCATENATE(0,0,0,0,AR4,AS4,AT4,AU4))</f>
        <v>0</v>
      </c>
      <c r="AW4" s="42" t="s">
        <v>106</v>
      </c>
      <c r="AX4" s="42"/>
      <c r="AY4" s="47"/>
      <c r="AZ4" s="42"/>
      <c r="BA4" s="42"/>
      <c r="BB4" s="42"/>
      <c r="BC4" s="42"/>
      <c r="BD4" s="42"/>
      <c r="BE4" s="42"/>
      <c r="BF4" s="42"/>
      <c r="BG4" s="46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"Ввод_функции", note: "Ввод функции в работу", group: "setting", minValue: 0, maxValue: 1, step: 1, units: "null", defaultValue: 0, eventRegistration: 0</v>
      </c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19"/>
      <c r="BC5" s="4"/>
      <c r="BD5" s="19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19"/>
      <c r="BC6" s="4"/>
      <c r="BD6" s="19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19"/>
      <c r="BC7" s="4"/>
      <c r="BD7" s="19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19"/>
      <c r="BC8" s="4"/>
      <c r="BD8" s="19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19"/>
      <c r="BC9" s="4"/>
      <c r="BD9" s="19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19"/>
      <c r="BC10" s="4"/>
      <c r="BD10" s="19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19"/>
      <c r="BC11" s="4"/>
      <c r="BD11" s="19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19"/>
      <c r="BC12" s="4"/>
      <c r="BD12" s="19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19"/>
      <c r="BC13" s="4"/>
      <c r="BD13" s="19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19"/>
      <c r="BC14" s="4"/>
      <c r="BD14" s="19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9"/>
      <c r="BC15" s="4"/>
      <c r="BD15" s="19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9"/>
      <c r="BC16" s="4"/>
      <c r="BD16" s="19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9"/>
      <c r="BC17" s="4"/>
      <c r="BD17" s="19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9"/>
      <c r="BC18" s="4"/>
      <c r="BD18" s="19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9"/>
      <c r="BC19" s="4"/>
      <c r="BD19" s="19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9"/>
      <c r="BC20" s="4"/>
      <c r="BD20" s="19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9"/>
      <c r="BC21" s="4"/>
      <c r="BD21" s="1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9"/>
      <c r="BC22" s="4"/>
      <c r="BD22" s="1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9"/>
      <c r="BC23" s="4"/>
      <c r="BD23" s="1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9"/>
      <c r="BC24" s="4"/>
      <c r="BD24" s="1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9"/>
      <c r="BC25" s="4"/>
      <c r="BD25" s="1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9"/>
      <c r="BC26" s="4"/>
      <c r="BD26" s="1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9"/>
      <c r="BC27" s="4"/>
      <c r="BD27" s="1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9"/>
      <c r="BC28" s="4"/>
      <c r="BD28" s="1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9"/>
      <c r="BC29" s="4"/>
      <c r="BD29" s="1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9"/>
      <c r="BC30" s="4"/>
      <c r="BD30" s="1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9"/>
      <c r="BC31" s="4"/>
      <c r="BD31" s="1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9"/>
      <c r="BC32" s="4"/>
      <c r="BD32" s="1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9"/>
      <c r="BC33" s="4"/>
      <c r="BD33" s="1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9"/>
      <c r="BC34" s="4"/>
      <c r="BD34" s="1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9"/>
      <c r="BC35" s="4"/>
      <c r="BD35" s="1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9"/>
      <c r="BC36" s="4"/>
      <c r="BD36" s="1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9"/>
      <c r="BC37" s="4"/>
      <c r="BD37" s="1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9"/>
      <c r="BC38" s="4"/>
      <c r="BD38" s="1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9"/>
      <c r="BC39" s="4"/>
      <c r="BD39" s="1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9"/>
      <c r="BC40" s="4"/>
      <c r="BD40" s="1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9"/>
      <c r="BC41" s="4"/>
      <c r="BD41" s="1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9"/>
      <c r="BC42" s="4"/>
      <c r="BD42" s="1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9"/>
      <c r="BC43" s="4"/>
      <c r="BD43" s="1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9"/>
      <c r="BC44" s="4"/>
      <c r="BD44" s="1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9"/>
      <c r="BC45" s="4"/>
      <c r="BD45" s="1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9"/>
      <c r="BC46" s="4"/>
      <c r="BD46" s="1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9"/>
      <c r="BC47" s="4"/>
      <c r="BD47" s="1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9"/>
      <c r="BC48" s="4"/>
      <c r="BD48" s="1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9"/>
      <c r="BC49" s="4"/>
      <c r="BD49" s="1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9"/>
      <c r="BC50" s="4"/>
      <c r="BD50" s="1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9"/>
      <c r="BC51" s="4"/>
      <c r="BD51" s="1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9"/>
      <c r="BC52" s="4"/>
      <c r="BD52" s="1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9"/>
      <c r="BC53" s="4"/>
      <c r="BD53" s="1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9"/>
      <c r="BC54" s="4"/>
      <c r="BD54" s="1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9"/>
      <c r="BC55" s="4"/>
      <c r="BD55" s="1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9"/>
      <c r="BC56" s="4"/>
      <c r="BD56" s="1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9"/>
      <c r="BC57" s="4"/>
      <c r="BD57" s="1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9"/>
      <c r="BC58" s="4"/>
      <c r="BD58" s="1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9"/>
      <c r="BC59" s="4"/>
      <c r="BD59" s="1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9"/>
      <c r="BC60" s="4"/>
      <c r="BD60" s="1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9"/>
      <c r="BC61" s="4"/>
      <c r="BD61" s="1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9"/>
      <c r="BC62" s="4"/>
      <c r="BD62" s="1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9"/>
      <c r="BC63" s="4"/>
      <c r="BD63" s="1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9"/>
      <c r="BC64" s="4"/>
      <c r="BD64" s="1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9"/>
      <c r="BC65" s="4"/>
      <c r="BD65" s="1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9"/>
      <c r="BC66" s="4"/>
      <c r="BD66" s="1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9"/>
      <c r="BC67" s="4"/>
      <c r="BD67" s="1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9"/>
      <c r="BC68" s="4"/>
      <c r="BD68" s="1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9"/>
      <c r="BC69" s="4"/>
      <c r="BD69" s="1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9"/>
      <c r="BC70" s="4"/>
      <c r="BD70" s="1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9"/>
      <c r="BC71" s="4"/>
      <c r="BD71" s="1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9"/>
      <c r="BC72" s="4"/>
      <c r="BD72" s="1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9"/>
      <c r="BC73" s="4"/>
      <c r="BD73" s="1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9"/>
      <c r="BC74" s="4"/>
      <c r="BD74" s="1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9"/>
      <c r="BC75" s="4"/>
      <c r="BD75" s="1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9"/>
      <c r="BC76" s="4"/>
      <c r="BD76" s="1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9"/>
      <c r="BC77" s="4"/>
      <c r="BD77" s="1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9"/>
      <c r="BC78" s="4"/>
      <c r="BD78" s="1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9"/>
      <c r="BC79" s="4"/>
      <c r="BD79" s="1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9"/>
      <c r="BC80" s="4"/>
      <c r="BD80" s="1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9"/>
      <c r="BC81" s="4"/>
      <c r="BD81" s="1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9"/>
      <c r="BC82" s="4"/>
      <c r="BD82" s="1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9"/>
      <c r="BC83" s="4"/>
      <c r="BD83" s="1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9"/>
      <c r="BC84" s="4"/>
      <c r="BD84" s="1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9"/>
      <c r="BC85" s="4"/>
      <c r="BD85" s="1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9"/>
      <c r="BC86" s="4"/>
      <c r="BD86" s="1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9"/>
      <c r="BC87" s="4"/>
      <c r="BD87" s="1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9"/>
      <c r="BC88" s="4"/>
      <c r="BD88" s="1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9"/>
      <c r="BC89" s="4"/>
      <c r="BD89" s="1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9"/>
      <c r="BC90" s="4"/>
      <c r="BD90" s="1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9"/>
      <c r="BC91" s="4"/>
      <c r="BD91" s="1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9"/>
      <c r="BC92" s="4"/>
      <c r="BD92" s="1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9"/>
      <c r="BC93" s="4"/>
      <c r="BD93" s="1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9"/>
      <c r="BC94" s="4"/>
      <c r="BD94" s="1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9"/>
      <c r="BC95" s="4"/>
      <c r="BD95" s="1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9"/>
      <c r="BC96" s="4"/>
      <c r="BD96" s="1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9"/>
      <c r="BC97" s="4"/>
      <c r="BD97" s="1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9"/>
      <c r="BC98" s="4"/>
      <c r="BD98" s="1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9"/>
      <c r="BC99" s="4"/>
      <c r="BD99" s="1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9"/>
      <c r="BC100" s="4"/>
      <c r="BD100" s="1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9"/>
      <c r="BC101" s="4"/>
      <c r="BD101" s="1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9"/>
      <c r="BC102" s="4"/>
      <c r="BD102" s="1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9"/>
      <c r="BC103" s="4"/>
      <c r="BD103" s="1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9"/>
      <c r="BC104" s="4"/>
      <c r="BD104" s="1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9"/>
      <c r="BC105" s="4"/>
      <c r="BD105" s="1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9"/>
      <c r="BC106" s="4"/>
      <c r="BD106" s="1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9"/>
      <c r="BC107" s="4"/>
      <c r="BD107" s="1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9"/>
      <c r="BC108" s="4"/>
      <c r="BD108" s="1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9"/>
      <c r="BC109" s="4"/>
      <c r="BD109" s="1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9"/>
      <c r="BC110" s="4"/>
      <c r="BD110" s="1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9"/>
      <c r="BC111" s="4"/>
      <c r="BD111" s="1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9"/>
      <c r="BC112" s="4"/>
      <c r="BD112" s="1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9"/>
      <c r="BC113" s="4"/>
      <c r="BD113" s="1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9"/>
      <c r="BC114" s="4"/>
      <c r="BD114" s="1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9"/>
      <c r="BC115" s="4"/>
      <c r="BD115" s="1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9"/>
      <c r="BC116" s="4"/>
      <c r="BD116" s="1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9"/>
      <c r="BC117" s="4"/>
      <c r="BD117" s="1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9"/>
      <c r="BC118" s="4"/>
      <c r="BD118" s="1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9"/>
      <c r="BC119" s="4"/>
      <c r="BD119" s="1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9"/>
      <c r="BC120" s="4"/>
      <c r="BD120" s="1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9"/>
      <c r="BC121" s="4"/>
      <c r="BD121" s="1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9"/>
      <c r="BC122" s="4"/>
      <c r="BD122" s="1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9"/>
      <c r="BC123" s="4"/>
      <c r="BD123" s="1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9"/>
      <c r="BC124" s="4"/>
      <c r="BD124" s="1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9"/>
      <c r="BC125" s="4"/>
      <c r="BD125" s="1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9"/>
      <c r="BC126" s="4"/>
      <c r="BD126" s="1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9"/>
      <c r="BC127" s="4"/>
      <c r="BD127" s="1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9"/>
      <c r="BC128" s="4"/>
      <c r="BD128" s="1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9"/>
      <c r="BC129" s="4"/>
      <c r="BD129" s="1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9"/>
      <c r="BC130" s="4"/>
      <c r="BD130" s="1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9"/>
      <c r="BC131" s="4"/>
      <c r="BD131" s="1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9"/>
      <c r="BC132" s="4"/>
      <c r="BD132" s="1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9"/>
      <c r="BC133" s="4"/>
      <c r="BD133" s="1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9"/>
      <c r="BC134" s="4"/>
      <c r="BD134" s="1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9"/>
      <c r="BC135" s="4"/>
      <c r="BD135" s="1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9"/>
      <c r="BC136" s="4"/>
      <c r="BD136" s="1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9"/>
      <c r="BC137" s="4"/>
      <c r="BD137" s="1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9"/>
      <c r="BC138" s="4"/>
      <c r="BD138" s="1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9"/>
      <c r="BC139" s="4"/>
      <c r="BD139" s="1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9"/>
      <c r="BC140" s="4"/>
      <c r="BD140" s="1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9"/>
      <c r="BC141" s="4"/>
      <c r="BD141" s="1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9"/>
      <c r="BC142" s="4"/>
      <c r="BD142" s="1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9"/>
      <c r="BC143" s="4"/>
      <c r="BD143" s="1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9"/>
      <c r="BC144" s="4"/>
      <c r="BD144" s="1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19"/>
      <c r="BC145" s="4"/>
      <c r="BD145" s="1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19"/>
      <c r="BC146" s="4"/>
      <c r="BD146" s="1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19"/>
      <c r="BC147" s="4"/>
      <c r="BD147" s="1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19"/>
      <c r="BC148" s="4"/>
      <c r="BD148" s="1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19"/>
      <c r="BC149" s="4"/>
      <c r="BD149" s="1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19"/>
      <c r="BC150" s="4"/>
      <c r="BD150" s="1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19"/>
      <c r="BC151" s="4"/>
      <c r="BD151" s="1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19"/>
      <c r="BC152" s="4"/>
      <c r="BD152" s="1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19"/>
      <c r="BC153" s="4"/>
      <c r="BD153" s="1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19"/>
      <c r="BC154" s="4"/>
      <c r="BD154" s="1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19"/>
      <c r="BC155" s="4"/>
      <c r="BD155" s="1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19"/>
      <c r="BC156" s="4"/>
      <c r="BD156" s="1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9"/>
      <c r="BC157" s="4"/>
      <c r="BD157" s="1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9"/>
      <c r="BC158" s="4"/>
      <c r="BD158" s="1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9"/>
      <c r="BC159" s="4"/>
      <c r="BD159" s="1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9"/>
      <c r="BC160" s="4"/>
      <c r="BD160" s="1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9"/>
      <c r="BC161" s="4"/>
      <c r="BD161" s="1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9"/>
      <c r="BC162" s="4"/>
      <c r="BD162" s="1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9"/>
      <c r="BC163" s="4"/>
      <c r="BD163" s="1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9"/>
      <c r="BC164" s="4"/>
      <c r="BD164" s="1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9"/>
      <c r="BC165" s="4"/>
      <c r="BD165" s="1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9"/>
      <c r="BC166" s="4"/>
      <c r="BD166" s="1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9"/>
      <c r="BC167" s="4"/>
      <c r="BD167" s="1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9"/>
      <c r="BC168" s="4"/>
      <c r="BD168" s="1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9"/>
      <c r="BC169" s="4"/>
      <c r="BD169" s="1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9"/>
      <c r="BC170" s="4"/>
      <c r="BD170" s="1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9"/>
      <c r="BC171" s="4"/>
      <c r="BD171" s="1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9"/>
      <c r="BC172" s="4"/>
      <c r="BD172" s="1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9"/>
      <c r="BC173" s="4"/>
      <c r="BD173" s="1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9"/>
      <c r="BC174" s="4"/>
      <c r="BD174" s="1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9"/>
      <c r="BC175" s="4"/>
      <c r="BD175" s="1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9"/>
      <c r="BC176" s="4"/>
      <c r="BD176" s="1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9"/>
      <c r="BC177" s="4"/>
      <c r="BD177" s="1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9"/>
      <c r="BC178" s="4"/>
      <c r="BD178" s="1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9"/>
      <c r="BC179" s="4"/>
      <c r="BD179" s="1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9"/>
      <c r="BC180" s="4"/>
      <c r="BD180" s="1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9"/>
      <c r="BC181" s="4"/>
      <c r="BD181" s="1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9"/>
      <c r="BC182" s="4"/>
      <c r="BD182" s="1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9"/>
      <c r="BC183" s="4"/>
      <c r="BD183" s="19"/>
      <c r="BE183" s="4"/>
      <c r="BF183" s="4"/>
      <c r="BG183" s="1"/>
      <c r="BH18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2"/>
  <sheetViews>
    <sheetView workbookViewId="0">
      <selection activeCell="B16" sqref="B16"/>
    </sheetView>
  </sheetViews>
  <sheetFormatPr defaultRowHeight="15.75" x14ac:dyDescent="0.25"/>
  <cols>
    <col min="1" max="1" width="22.42578125" style="100" customWidth="1"/>
    <col min="2" max="2" width="16" style="100" bestFit="1" customWidth="1"/>
    <col min="3" max="16384" width="9.140625" style="100"/>
  </cols>
  <sheetData>
    <row r="2" spans="1:2" x14ac:dyDescent="0.25">
      <c r="A2" s="10" t="s">
        <v>90</v>
      </c>
      <c r="B2" s="10" t="s">
        <v>91</v>
      </c>
    </row>
    <row r="3" spans="1:2" x14ac:dyDescent="0.25">
      <c r="A3" s="21" t="s">
        <v>92</v>
      </c>
      <c r="B3" s="101" t="s">
        <v>120</v>
      </c>
    </row>
    <row r="4" spans="1:2" x14ac:dyDescent="0.25">
      <c r="A4" s="21" t="s">
        <v>93</v>
      </c>
      <c r="B4" s="23">
        <v>531</v>
      </c>
    </row>
    <row r="5" spans="1:2" x14ac:dyDescent="0.25">
      <c r="A5" s="21" t="s">
        <v>94</v>
      </c>
      <c r="B5" s="22" t="s">
        <v>52</v>
      </c>
    </row>
    <row r="6" spans="1:2" x14ac:dyDescent="0.25">
      <c r="A6" s="24" t="s">
        <v>95</v>
      </c>
      <c r="B6" s="22" t="s">
        <v>119</v>
      </c>
    </row>
    <row r="7" spans="1:2" x14ac:dyDescent="0.25">
      <c r="A7" s="24" t="s">
        <v>197</v>
      </c>
      <c r="B7" s="22">
        <v>1</v>
      </c>
    </row>
    <row r="8" spans="1:2" x14ac:dyDescent="0.25">
      <c r="A8" s="108" t="s">
        <v>213</v>
      </c>
      <c r="B8" t="s">
        <v>216</v>
      </c>
    </row>
    <row r="9" spans="1:2" x14ac:dyDescent="0.25">
      <c r="A9" s="108" t="s">
        <v>214</v>
      </c>
      <c r="B9" s="108"/>
    </row>
    <row r="10" spans="1:2" x14ac:dyDescent="0.25">
      <c r="A10" s="28" t="s">
        <v>188</v>
      </c>
      <c r="B10" t="s">
        <v>215</v>
      </c>
    </row>
    <row r="11" spans="1:2" x14ac:dyDescent="0.25">
      <c r="A11" s="98" t="s">
        <v>189</v>
      </c>
      <c r="B11" t="s">
        <v>217</v>
      </c>
    </row>
    <row r="12" spans="1:2" x14ac:dyDescent="0.25">
      <c r="A12" s="108" t="s">
        <v>214</v>
      </c>
      <c r="B12" s="108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2025-06-24T13:23:30Z</dcterms:modified>
</cp:coreProperties>
</file>