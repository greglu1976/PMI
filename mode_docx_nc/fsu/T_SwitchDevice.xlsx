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2" i="4" l="1"/>
  <c r="AW12" i="4"/>
  <c r="K12" i="4"/>
  <c r="J12" i="4"/>
  <c r="BH11" i="4"/>
  <c r="AW11" i="4"/>
  <c r="K11" i="4"/>
  <c r="J11" i="4"/>
  <c r="BH10" i="4"/>
  <c r="AW10" i="4"/>
  <c r="K10" i="4"/>
  <c r="J10" i="4"/>
  <c r="BH9" i="4"/>
  <c r="AW9" i="4"/>
  <c r="K9" i="4"/>
  <c r="J9" i="4"/>
  <c r="BH8" i="4"/>
  <c r="AW8" i="4"/>
  <c r="K8" i="4"/>
  <c r="J8" i="4"/>
  <c r="BH7" i="4"/>
  <c r="AW7" i="4"/>
  <c r="K7" i="4"/>
  <c r="J7" i="4"/>
  <c r="BH6" i="4"/>
  <c r="AW6" i="4"/>
  <c r="K6" i="4"/>
  <c r="J6" i="4"/>
  <c r="BH5" i="4"/>
  <c r="AW5" i="4"/>
  <c r="K5" i="4"/>
  <c r="J5" i="4"/>
  <c r="BH4" i="4"/>
  <c r="AW4" i="4"/>
  <c r="K4" i="4"/>
  <c r="J4" i="4"/>
  <c r="BH3" i="4"/>
  <c r="AW3" i="4"/>
  <c r="K3" i="4"/>
  <c r="J3" i="4"/>
  <c r="AI1" i="4"/>
  <c r="BG11" i="3"/>
  <c r="J11" i="3"/>
  <c r="I11" i="3"/>
  <c r="BG10" i="3"/>
  <c r="J10" i="3"/>
  <c r="I10" i="3"/>
  <c r="BG9" i="3"/>
  <c r="J9" i="3"/>
  <c r="I9" i="3"/>
  <c r="BG8" i="3"/>
  <c r="J8" i="3"/>
  <c r="I8" i="3"/>
  <c r="BG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<sst xmlns="http://schemas.openxmlformats.org/spreadsheetml/2006/main" count="649" uniqueCount="199">
  <si>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</si>
  <si>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</si>
  <si>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</si>
  <si>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</si>
  <si>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</si>
  <si>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</si>
  <si>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</si>
  <si>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</si>
  <si>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</si>
  <si>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</si>
  <si>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</si>
  <si>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</si>
  <si>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</si>
  <si>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</si>
  <si>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</si>
  <si>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</si>
  <si>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</si>
  <si>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</si>
  <si>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</si>
  <si>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</si>
  <si>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</si>
  <si>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</si>
  <si>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</si>
  <si>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</si>
  <si>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</si>
  <si>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</si>
  <si>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</si>
  <si>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</si>
  <si>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</si>
  <si>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</si>
  <si>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</si>
  <si>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</si>
  <si>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</si>
  <si>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</si>
  <si>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</si>
  <si>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</si>
  <si>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</si>
  <si>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</si>
  <si>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</si>
  <si>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</si>
  <si>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</si>
  <si>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</si>
  <si>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</si>
  <si>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</si>
  <si>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</si>
  <si>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</si>
  <si>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</si>
  <si>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</si>
  <si>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</si>
  <si>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</si>
  <si>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</si>
  <si>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</si>
  <si>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</si>
  <si>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</si>
  <si>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</si>
  <si>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</si>
  <si>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</si>
  <si>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</si>
  <si>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</si>
  <si>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</si>
  <si>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</si>
  <si>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</si>
  <si>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</si>
  <si>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</si>
  <si>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</si>
  <si>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</si>
  <si>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КА</t>
  </si>
  <si>
    <t>Оперативный вывод функции КА</t>
  </si>
  <si>
    <t>ОВ КА</t>
  </si>
  <si>
    <t>SD_operOutFunction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</si>
  <si>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</si>
  <si>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</si>
  <si>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</si>
  <si>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</si>
  <si>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</si>
  <si>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</si>
  <si>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Оперативно отключить В</t>
  </si>
  <si>
    <t>Опер. отключить В</t>
  </si>
  <si>
    <t>Блокировка отключения от КСВ</t>
  </si>
  <si>
    <t>Блок откл от КСВ</t>
  </si>
  <si>
    <t>BlkToOpnFrmCBSUP</t>
  </si>
  <si>
    <t>Работа ЭМО1</t>
  </si>
  <si>
    <t>CBOS1operation</t>
  </si>
  <si>
    <t>Работа ЭМО2</t>
  </si>
  <si>
    <t>CBOS2operation</t>
  </si>
  <si>
    <t>Сброс</t>
  </si>
  <si>
    <t>Reset</t>
  </si>
  <si>
    <t>Работа ЭМВ</t>
  </si>
  <si>
    <t>CBCSoperation</t>
  </si>
  <si>
    <t>Функция введена в работу</t>
  </si>
  <si>
    <t>Ввод</t>
  </si>
  <si>
    <t>SD_FuncEnabled</t>
  </si>
  <si>
    <t>Функция оперативно выведена из работы</t>
  </si>
  <si>
    <t>Оперативный вывод</t>
  </si>
  <si>
    <t>SD_FuncOperDisabled</t>
  </si>
  <si>
    <t>В</t>
  </si>
  <si>
    <t>CB1_FuncEnabled</t>
  </si>
  <si>
    <t>Промежуточное положение выключателя</t>
  </si>
  <si>
    <t>Промеж. положение</t>
  </si>
  <si>
    <t>CB1_CBPosIntermed</t>
  </si>
  <si>
    <t>Выключатель отключен</t>
  </si>
  <si>
    <t>Отключен</t>
  </si>
  <si>
    <t>CB1_CBPosOpn</t>
  </si>
  <si>
    <t>Выключатель включен</t>
  </si>
  <si>
    <t>Включен</t>
  </si>
  <si>
    <t>CB1_CBPosCls</t>
  </si>
  <si>
    <t>Неисправное положение выключателя</t>
  </si>
  <si>
    <t>Неиспр. положение</t>
  </si>
  <si>
    <t>CB1_CBPosFaul</t>
  </si>
  <si>
    <t>Отключить (реле)</t>
  </si>
  <si>
    <t>CB1_OpnCB_relay</t>
  </si>
  <si>
    <t>Включить (реле)</t>
  </si>
  <si>
    <t>CB1_ClsCB_relay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</si>
  <si>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</si>
  <si>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</si>
  <si>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</si>
  <si>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</si>
  <si>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</si>
  <si>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SD_EnaDis</t>
  </si>
  <si>
    <t>NotProvided_Provided</t>
  </si>
  <si>
    <t>Режим_откл</t>
  </si>
  <si>
    <t>SGF2</t>
  </si>
  <si>
    <t>0 - Длительный, 1 - Импульсный</t>
  </si>
  <si>
    <t>Контроль работы ЭМО</t>
  </si>
  <si>
    <t>Контр_раб_ЭМО</t>
  </si>
  <si>
    <t>SGF3</t>
  </si>
  <si>
    <t>Режим_вкл</t>
  </si>
  <si>
    <t>SGF4</t>
  </si>
  <si>
    <t>Контроль работы ЭМВ</t>
  </si>
  <si>
    <t>Контр_раб_ЭМВ</t>
  </si>
  <si>
    <t>SGF5</t>
  </si>
  <si>
    <t>Длительность формирования сигнала о неисправном положении В</t>
  </si>
  <si>
    <t>Tнеиспр_В</t>
  </si>
  <si>
    <t>T1</t>
  </si>
  <si>
    <t>INT32</t>
  </si>
  <si>
    <t>TimeSettingScaleCoefficient</t>
  </si>
  <si>
    <t>мс</t>
  </si>
  <si>
    <t>Тимп_откл</t>
  </si>
  <si>
    <t>T2</t>
  </si>
  <si>
    <t>Тимп_вкл</t>
  </si>
  <si>
    <t>T3</t>
  </si>
  <si>
    <t>Тпрод_вкл</t>
  </si>
  <si>
    <t>T4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</si>
  <si>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</si>
  <si>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</si>
  <si>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</si>
  <si>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</si>
  <si>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</si>
  <si>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</si>
  <si>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</si>
  <si>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Отключить аварийно от ЛО ВН / ЛО</t>
  </si>
  <si>
    <t>Откл.авар.ЛО ВН/ЛО</t>
  </si>
  <si>
    <t>TrCB_SW</t>
  </si>
  <si>
    <t>OpIn_TPBRF</t>
  </si>
  <si>
    <t>Отключить от КП / УВ</t>
  </si>
  <si>
    <t>Отключить от КП/УВ</t>
  </si>
  <si>
    <t>OpnLWCBCSWI</t>
  </si>
  <si>
    <t>OperOpnCB</t>
  </si>
  <si>
    <t>Включить от КП / УВ</t>
  </si>
  <si>
    <t>Включить от КП/УВ</t>
  </si>
  <si>
    <t>ClsLWCBCSWI</t>
  </si>
  <si>
    <t>Включить от УВ / УВ</t>
  </si>
  <si>
    <t>Включить от УВ/УВ</t>
  </si>
  <si>
    <t>ClsHVCSWI</t>
  </si>
  <si>
    <t>Режим отключения В</t>
  </si>
  <si>
    <t>Режим включения В</t>
  </si>
  <si>
    <t>Long-lasting_Pulse</t>
  </si>
  <si>
    <t>control</t>
  </si>
  <si>
    <t>input</t>
  </si>
  <si>
    <t>Logger</t>
  </si>
  <si>
    <t>Disturber</t>
  </si>
  <si>
    <t>StartDisturber</t>
  </si>
  <si>
    <t>status</t>
  </si>
  <si>
    <t>reserved1</t>
  </si>
  <si>
    <t>button</t>
  </si>
  <si>
    <t>FBLLN0</t>
  </si>
  <si>
    <t>LLN0</t>
  </si>
  <si>
    <t>DescriptionFB</t>
  </si>
  <si>
    <t>DescriptionFuncList</t>
  </si>
  <si>
    <t>Коммутационные аппараты</t>
  </si>
  <si>
    <t>Выключатель</t>
  </si>
  <si>
    <t>T_SwitchDevice</t>
  </si>
  <si>
    <t>Срабатывание УРОВ &lt;&lt;на себя&gt;&gt;</t>
  </si>
  <si>
    <t>Сраб УРОВ &lt;&lt;на себя&gt;&gt;</t>
  </si>
  <si>
    <t>Команда &lt;&lt;отключить&gt;&gt; выключатель через выходное реле</t>
  </si>
  <si>
    <t>Команда &lt;&lt;включить&gt;&gt; выключатель через выходное реле</t>
  </si>
  <si>
    <t>Длительность формирования команды &lt;&lt;Отключить В (реле)&gt;&gt;</t>
  </si>
  <si>
    <t>Длительность формирования команды &lt;&lt;Включить В (реле)&gt;&gt;</t>
  </si>
  <si>
    <t>Время для исключения &lt;&lt;опрокидывания&gt;&gt; В</t>
  </si>
  <si>
    <t>alias</t>
  </si>
  <si>
    <t>XCBR1_EnaDis</t>
  </si>
  <si>
    <t>XCBR1_TPOpnResetCtrl</t>
  </si>
  <si>
    <t>XCBR1_CBOSoperationCtrl</t>
  </si>
  <si>
    <t>XCBR1_TPClsResetCtrl</t>
  </si>
  <si>
    <t>XCBR1_CBCSoperationCtrl</t>
  </si>
  <si>
    <t>XCBR1_TonFaul</t>
  </si>
  <si>
    <t>XCBR1_OpnTPtime</t>
  </si>
  <si>
    <t>XCBR1_ClsTPtime</t>
  </si>
  <si>
    <t>XCBR1_TextenCls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</si>
</sst>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0" xfId="1" applyFont="1"/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2" fillId="0" borderId="0" xfId="1" applyFont="1"/>
    <xf numFmtId="0" fontId="3" fillId="5" borderId="1" xfId="1" applyFont="1" applyFill="1" applyBorder="1" applyAlignment="1">
      <alignment horizontal="left" vertical="center" wrapText="1"/>
    </xf>
    <xf numFmtId="0" fontId="2" fillId="5" borderId="0" xfId="1" applyFont="1" applyFill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2" xfId="1" applyFont="1" applyFill="1" applyBorder="1" applyAlignment="1">
      <alignment horizontal="righ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2" fillId="7" borderId="0" xfId="0" applyFont="1" applyFill="1"/>
    <xf numFmtId="0" fontId="2" fillId="0" borderId="0" xfId="0" applyFont="1"/>
    <xf numFmtId="0" fontId="3" fillId="0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4" fillId="10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vertical="center" wrapText="1"/>
    </xf>
    <xf numFmtId="0" fontId="0" fillId="10" borderId="2" xfId="0" applyFill="1" applyBorder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7109375" style="2" customWidth="1" outlineLevel="1"/>
    <col min="7" max="7" width="29.5703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5703125" style="2" bestFit="1" customWidth="1"/>
    <col min="12" max="12" width="9.42578125" style="2" customWidth="1"/>
    <col min="13" max="13" width="15" style="2" customWidth="1" outlineLevel="1"/>
    <col min="14" max="14" width="16.140625" style="2" customWidth="1" outlineLevel="1"/>
    <col min="15" max="15" width="8.85546875" style="2" bestFit="1" customWidth="1" outlineLevel="1"/>
    <col min="16" max="16" width="16.85546875" style="2" customWidth="1" outlineLevel="1"/>
    <col min="17" max="17" width="17.85546875" style="2" customWidth="1" outlineLevel="1"/>
    <col min="18" max="18" width="8.140625" style="3" customWidth="1" outlineLevel="1"/>
    <col min="19" max="19" width="9.5703125" style="4" customWidth="1" outlineLevel="1"/>
    <col min="20" max="20" width="11" style="4" customWidth="1" outlineLevel="1"/>
    <col min="21" max="21" width="9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8" t="s">
        <v>0</v>
      </c>
      <c r="BA1" s="89"/>
      <c r="BB1" s="89"/>
      <c r="BC1" s="89"/>
      <c r="BD1" s="89"/>
      <c r="BE1" s="89"/>
      <c r="BF1" s="8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77" t="s">
        <v>169</v>
      </c>
      <c r="AW2" s="77" t="s">
        <v>170</v>
      </c>
      <c r="AX2" s="77" t="s">
        <v>171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 t="s">
        <v>173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62" t="s">
        <v>167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17" si="0">LEN(F3)</f>
        <v>15</v>
      </c>
      <c r="J3" s="21" t="str">
        <f t="shared" ref="J3:J17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 t="shared" ref="AV3:AV17" si="2">BIN2DEC(CONCATENATE(0,0,0,0,AR3,AS3,AT3,AU3))</f>
        <v>0</v>
      </c>
      <c r="AW3" s="25">
        <v>0</v>
      </c>
      <c r="AX3" s="25">
        <v>0</v>
      </c>
      <c r="AY3" s="25"/>
      <c r="AZ3" s="23"/>
      <c r="BA3" s="25"/>
      <c r="BB3" s="25"/>
      <c r="BC3" s="27"/>
      <c r="BD3" s="25"/>
      <c r="BE3" s="28"/>
      <c r="BF3" s="25"/>
      <c r="BG3" s="29" t="str">
        <f t="shared" ref="BG3:BG17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0"/>
    </row>
    <row r="4" spans="1:16379" s="31" customFormat="1" ht="15.75" x14ac:dyDescent="0.25">
      <c r="A4" s="18"/>
      <c r="B4" s="62" t="s">
        <v>167</v>
      </c>
      <c r="C4" s="19"/>
      <c r="D4" s="20" t="s">
        <v>66</v>
      </c>
      <c r="E4" s="21" t="s">
        <v>67</v>
      </c>
      <c r="F4" s="21" t="s">
        <v>68</v>
      </c>
      <c r="G4" s="21" t="s">
        <v>68</v>
      </c>
      <c r="H4" s="21"/>
      <c r="I4" s="21">
        <f t="shared" si="0"/>
        <v>5</v>
      </c>
      <c r="J4" s="21" t="str">
        <f t="shared" si="1"/>
        <v>ОВ КА</v>
      </c>
      <c r="K4" s="18" t="s">
        <v>69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>
        <v>0</v>
      </c>
      <c r="AX4" s="25">
        <v>0</v>
      </c>
      <c r="AY4" s="25"/>
      <c r="AZ4" s="23"/>
      <c r="BA4" s="25"/>
      <c r="BB4" s="25"/>
      <c r="BC4" s="27"/>
      <c r="BD4" s="25"/>
      <c r="BE4" s="28"/>
      <c r="BF4" s="25"/>
      <c r="BG4" s="29" t="str">
        <f t="shared" si="3"/>
        <v>description: "ОВ КА", note: "Оперативный вывод функции КА", group: "control", minValue: null, maxValue: null, step: null, units: "null", defaultValue: null, eventRegistration: 0</v>
      </c>
      <c r="BH4" s="30"/>
    </row>
    <row r="5" spans="1:16379" s="31" customFormat="1" ht="15.75" x14ac:dyDescent="0.25">
      <c r="A5" s="18"/>
      <c r="B5" s="63" t="s">
        <v>168</v>
      </c>
      <c r="C5" s="19"/>
      <c r="D5" s="20"/>
      <c r="E5" s="21" t="s">
        <v>70</v>
      </c>
      <c r="F5" s="21" t="s">
        <v>71</v>
      </c>
      <c r="G5" s="21" t="s">
        <v>71</v>
      </c>
      <c r="H5" s="21"/>
      <c r="I5" s="21">
        <f t="shared" si="0"/>
        <v>16</v>
      </c>
      <c r="J5" s="21" t="str">
        <f t="shared" si="1"/>
        <v>В отключен (б/к)</v>
      </c>
      <c r="K5" s="18" t="s">
        <v>72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>
        <v>0</v>
      </c>
      <c r="AX5" s="25">
        <v>0</v>
      </c>
      <c r="AY5" s="25"/>
      <c r="AZ5" s="23"/>
      <c r="BA5" s="25"/>
      <c r="BB5" s="25"/>
      <c r="BC5" s="27"/>
      <c r="BD5" s="25"/>
      <c r="BE5" s="28"/>
      <c r="BF5" s="25"/>
      <c r="BG5" s="29" t="str">
        <f t="shared" si="3"/>
        <v>description: "В отключен (б/к)", note: "Выключатель отключен (блок контакт)", group: "input", minValue: null, maxValue: null, step: null, units: "null", defaultValue: null, eventRegistration: 0</v>
      </c>
      <c r="BH5" s="30"/>
    </row>
    <row r="6" spans="1:16379" s="31" customFormat="1" ht="15.75" x14ac:dyDescent="0.25">
      <c r="A6" s="18"/>
      <c r="B6" s="63" t="s">
        <v>168</v>
      </c>
      <c r="C6" s="19"/>
      <c r="D6" s="20"/>
      <c r="E6" s="21" t="s">
        <v>73</v>
      </c>
      <c r="F6" s="21" t="s">
        <v>74</v>
      </c>
      <c r="G6" s="21" t="s">
        <v>74</v>
      </c>
      <c r="H6" s="21"/>
      <c r="I6" s="21">
        <f t="shared" si="0"/>
        <v>15</v>
      </c>
      <c r="J6" s="21" t="str">
        <f t="shared" si="1"/>
        <v>В включен (б/к)</v>
      </c>
      <c r="K6" s="32" t="s">
        <v>75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>
        <v>0</v>
      </c>
      <c r="AX6" s="25">
        <v>0</v>
      </c>
      <c r="AY6" s="25"/>
      <c r="AZ6" s="23"/>
      <c r="BA6" s="25"/>
      <c r="BB6" s="25"/>
      <c r="BC6" s="27"/>
      <c r="BD6" s="25"/>
      <c r="BE6" s="28"/>
      <c r="BF6" s="25"/>
      <c r="BG6" s="29" t="str">
        <f t="shared" si="3"/>
        <v>description: "В включен (б/к)", note: "Выключатель включен (блок контакт)", group: "input", minValue: null, maxValue: null, step: null, units: "null", defaultValue: null, eventRegistration: 0</v>
      </c>
      <c r="BH6" s="30"/>
    </row>
    <row r="7" spans="1:16379" s="31" customFormat="1" ht="15.75" x14ac:dyDescent="0.25">
      <c r="A7" s="18"/>
      <c r="B7" s="18" t="s">
        <v>59</v>
      </c>
      <c r="C7" s="19"/>
      <c r="D7" s="20"/>
      <c r="E7" s="21" t="s">
        <v>150</v>
      </c>
      <c r="F7" s="21" t="s">
        <v>151</v>
      </c>
      <c r="G7" s="21" t="s">
        <v>151</v>
      </c>
      <c r="H7" s="21"/>
      <c r="I7" s="21">
        <f t="shared" si="0"/>
        <v>18</v>
      </c>
      <c r="J7" s="21" t="str">
        <f t="shared" si="1"/>
        <v>Откл.авар.ЛО ВН/ЛО</v>
      </c>
      <c r="K7" s="18" t="s">
        <v>152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>
        <v>0</v>
      </c>
      <c r="AX7" s="25">
        <v>0</v>
      </c>
      <c r="AY7" s="25"/>
      <c r="AZ7" s="23"/>
      <c r="BA7" s="25"/>
      <c r="BB7" s="25"/>
      <c r="BC7" s="27"/>
      <c r="BD7" s="25"/>
      <c r="BE7" s="28"/>
      <c r="BF7" s="25"/>
      <c r="BG7" s="29" t="str">
        <f t="shared" si="3"/>
        <v>description: "Откл.авар.ЛО ВН/ЛО", note: "Отключить аварийно от ЛО ВН / ЛО", group: "measurement", minValue: null, maxValue: null, step: null, units: "null", defaultValue: null, eventRegistration: 0</v>
      </c>
      <c r="BH7" s="30"/>
    </row>
    <row r="8" spans="1:16379" s="31" customFormat="1" ht="15.75" x14ac:dyDescent="0.25">
      <c r="A8" s="18"/>
      <c r="B8" s="18" t="s">
        <v>59</v>
      </c>
      <c r="C8" s="19"/>
      <c r="D8" s="20"/>
      <c r="E8" s="84" t="s">
        <v>182</v>
      </c>
      <c r="F8" s="84" t="s">
        <v>183</v>
      </c>
      <c r="G8" s="84" t="s">
        <v>183</v>
      </c>
      <c r="H8" s="21"/>
      <c r="I8" s="21">
        <f t="shared" si="0"/>
        <v>21</v>
      </c>
      <c r="J8" s="21" t="str">
        <f t="shared" si="1"/>
        <v/>
      </c>
      <c r="K8" s="18" t="s">
        <v>153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>
        <v>0</v>
      </c>
      <c r="AX8" s="25">
        <v>0</v>
      </c>
      <c r="AY8" s="25"/>
      <c r="AZ8" s="23"/>
      <c r="BA8" s="25"/>
      <c r="BB8" s="25"/>
      <c r="BC8" s="27"/>
      <c r="BD8" s="25"/>
      <c r="BE8" s="28"/>
      <c r="BF8" s="25"/>
      <c r="BG8" s="29" t="str">
        <f t="shared" si="3"/>
        <v>description: "Сраб УРОВ &lt;&lt;на себя&gt;&gt;", note: "Срабатывание УРОВ &lt;&lt;на себя&gt;&gt;", group: "measurement", minValue: null, maxValue: null, step: null, units: "null", defaultValue: null, eventRegistration: 0</v>
      </c>
      <c r="BH8" s="30"/>
    </row>
    <row r="9" spans="1:16379" s="31" customFormat="1" ht="15.75" x14ac:dyDescent="0.25">
      <c r="A9" s="18"/>
      <c r="B9" s="18" t="s">
        <v>59</v>
      </c>
      <c r="C9" s="19"/>
      <c r="D9" s="20"/>
      <c r="E9" s="21" t="s">
        <v>154</v>
      </c>
      <c r="F9" s="21" t="s">
        <v>155</v>
      </c>
      <c r="G9" s="21" t="s">
        <v>155</v>
      </c>
      <c r="H9" s="21"/>
      <c r="I9" s="21">
        <f t="shared" si="0"/>
        <v>18</v>
      </c>
      <c r="J9" s="21" t="str">
        <f t="shared" si="1"/>
        <v>Отключить от КП/УВ</v>
      </c>
      <c r="K9" s="18" t="s">
        <v>156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19"/>
      <c r="W9" s="19"/>
      <c r="X9" s="19" t="s">
        <v>65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>
        <v>0</v>
      </c>
      <c r="AX9" s="25">
        <v>0</v>
      </c>
      <c r="AY9" s="25"/>
      <c r="AZ9" s="23"/>
      <c r="BA9" s="25"/>
      <c r="BB9" s="25"/>
      <c r="BC9" s="27"/>
      <c r="BD9" s="25"/>
      <c r="BE9" s="28"/>
      <c r="BF9" s="25"/>
      <c r="BG9" s="29" t="str">
        <f t="shared" si="3"/>
        <v>description: "Отключить от КП/УВ", note: "Отключить от КП / УВ", group: "measurement", minValue: null, maxValue: null, step: null, units: "null", defaultValue: null, eventRegistration: 0</v>
      </c>
      <c r="BH9" s="30"/>
    </row>
    <row r="10" spans="1:16379" s="31" customFormat="1" ht="15.75" x14ac:dyDescent="0.25">
      <c r="A10" s="18"/>
      <c r="B10" s="63" t="s">
        <v>168</v>
      </c>
      <c r="C10" s="19"/>
      <c r="D10" s="20"/>
      <c r="E10" s="21" t="s">
        <v>76</v>
      </c>
      <c r="F10" s="21" t="s">
        <v>77</v>
      </c>
      <c r="G10" s="21" t="s">
        <v>77</v>
      </c>
      <c r="H10" s="21"/>
      <c r="I10" s="21">
        <f t="shared" si="0"/>
        <v>17</v>
      </c>
      <c r="J10" s="21" t="str">
        <f t="shared" si="1"/>
        <v>Опер. отключить В</v>
      </c>
      <c r="K10" s="18" t="s">
        <v>157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19"/>
      <c r="W10" s="19"/>
      <c r="X10" s="19" t="s">
        <v>65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>
        <v>0</v>
      </c>
      <c r="AX10" s="25">
        <v>0</v>
      </c>
      <c r="AY10" s="25"/>
      <c r="AZ10" s="23"/>
      <c r="BA10" s="25"/>
      <c r="BB10" s="25"/>
      <c r="BC10" s="27"/>
      <c r="BD10" s="25"/>
      <c r="BE10" s="28"/>
      <c r="BF10" s="25"/>
      <c r="BG10" s="29" t="str">
        <f t="shared" si="3"/>
        <v>description: "Опер. отключить В", note: "Оперативно отключить В", group: "input", minValue: null, maxValue: null, step: null, units: "null", defaultValue: null, eventRegistration: 0</v>
      </c>
      <c r="BH10" s="30"/>
    </row>
    <row r="11" spans="1:16379" s="31" customFormat="1" ht="15.75" x14ac:dyDescent="0.25">
      <c r="A11" s="18"/>
      <c r="B11" s="18" t="s">
        <v>59</v>
      </c>
      <c r="C11" s="19"/>
      <c r="D11" s="20"/>
      <c r="E11" s="21" t="s">
        <v>78</v>
      </c>
      <c r="F11" s="21" t="s">
        <v>79</v>
      </c>
      <c r="G11" s="21" t="s">
        <v>79</v>
      </c>
      <c r="H11" s="21"/>
      <c r="I11" s="21">
        <f t="shared" si="0"/>
        <v>16</v>
      </c>
      <c r="J11" s="21" t="str">
        <f t="shared" si="1"/>
        <v>Блок откл от КСВ</v>
      </c>
      <c r="K11" s="18" t="s">
        <v>80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>
        <v>0</v>
      </c>
      <c r="AX11" s="25">
        <v>0</v>
      </c>
      <c r="AY11" s="25"/>
      <c r="AZ11" s="23"/>
      <c r="BA11" s="25"/>
      <c r="BB11" s="25"/>
      <c r="BC11" s="27"/>
      <c r="BD11" s="25"/>
      <c r="BE11" s="28"/>
      <c r="BF11" s="25"/>
      <c r="BG11" s="29" t="str">
        <f t="shared" si="3"/>
        <v>description: "Блок откл от КСВ", note: "Блокировка отключения от КСВ", group: "measurement", minValue: null, maxValue: null, step: null, units: "null", defaultValue: null, eventRegistration: 0</v>
      </c>
      <c r="BH11" s="30"/>
    </row>
    <row r="12" spans="1:16379" s="31" customFormat="1" ht="15.75" x14ac:dyDescent="0.25">
      <c r="A12" s="18"/>
      <c r="B12" s="63" t="s">
        <v>168</v>
      </c>
      <c r="C12" s="19"/>
      <c r="D12" s="20"/>
      <c r="E12" s="21" t="s">
        <v>81</v>
      </c>
      <c r="F12" s="21" t="s">
        <v>81</v>
      </c>
      <c r="G12" s="21" t="s">
        <v>81</v>
      </c>
      <c r="H12" s="21"/>
      <c r="I12" s="21">
        <f t="shared" si="0"/>
        <v>11</v>
      </c>
      <c r="J12" s="21" t="str">
        <f t="shared" si="1"/>
        <v>Работа ЭМО1</v>
      </c>
      <c r="K12" s="18" t="s">
        <v>82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>
        <v>0</v>
      </c>
      <c r="AX12" s="25">
        <v>0</v>
      </c>
      <c r="AY12" s="25"/>
      <c r="AZ12" s="23"/>
      <c r="BA12" s="25"/>
      <c r="BB12" s="25"/>
      <c r="BC12" s="27"/>
      <c r="BD12" s="25"/>
      <c r="BE12" s="28"/>
      <c r="BF12" s="25"/>
      <c r="BG12" s="29" t="str">
        <f t="shared" si="3"/>
        <v>description: "Работа ЭМО1", note: "Работа ЭМО1", group: "input", minValue: null, maxValue: null, step: null, units: "null", defaultValue: null, eventRegistration: 0</v>
      </c>
      <c r="BH12" s="30"/>
    </row>
    <row r="13" spans="1:16379" s="31" customFormat="1" ht="15.75" x14ac:dyDescent="0.25">
      <c r="A13" s="18"/>
      <c r="B13" s="63" t="s">
        <v>168</v>
      </c>
      <c r="C13" s="19"/>
      <c r="D13" s="20"/>
      <c r="E13" s="21" t="s">
        <v>83</v>
      </c>
      <c r="F13" s="21" t="s">
        <v>83</v>
      </c>
      <c r="G13" s="21" t="s">
        <v>83</v>
      </c>
      <c r="H13" s="21"/>
      <c r="I13" s="21">
        <f t="shared" si="0"/>
        <v>11</v>
      </c>
      <c r="J13" s="21" t="str">
        <f t="shared" si="1"/>
        <v>Работа ЭМО2</v>
      </c>
      <c r="K13" s="18" t="s">
        <v>84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25">
        <v>0</v>
      </c>
      <c r="AX13" s="25">
        <v>0</v>
      </c>
      <c r="AY13" s="25"/>
      <c r="AZ13" s="23"/>
      <c r="BA13" s="25"/>
      <c r="BB13" s="25"/>
      <c r="BC13" s="27"/>
      <c r="BD13" s="25"/>
      <c r="BE13" s="28"/>
      <c r="BF13" s="25"/>
      <c r="BG13" s="29" t="str">
        <f t="shared" si="3"/>
        <v>description: "Работа ЭМО2", note: "Работа ЭМО2", group: "input", minValue: null, maxValue: null, step: null, units: "null", defaultValue: null, eventRegistration: 0</v>
      </c>
      <c r="BH13" s="30"/>
    </row>
    <row r="14" spans="1:16379" s="76" customFormat="1" ht="15.75" x14ac:dyDescent="0.25">
      <c r="A14" s="64"/>
      <c r="B14" s="64" t="s">
        <v>167</v>
      </c>
      <c r="C14" s="65"/>
      <c r="D14" s="66"/>
      <c r="E14" s="67" t="s">
        <v>85</v>
      </c>
      <c r="F14" s="67" t="s">
        <v>85</v>
      </c>
      <c r="G14" s="67" t="s">
        <v>85</v>
      </c>
      <c r="H14" s="67"/>
      <c r="I14" s="67">
        <f t="shared" si="0"/>
        <v>5</v>
      </c>
      <c r="J14" s="67" t="str">
        <f t="shared" si="1"/>
        <v>Сброс</v>
      </c>
      <c r="K14" s="64" t="s">
        <v>86</v>
      </c>
      <c r="L14" s="68" t="s">
        <v>62</v>
      </c>
      <c r="M14" s="65" t="s">
        <v>63</v>
      </c>
      <c r="N14" s="65" t="s">
        <v>64</v>
      </c>
      <c r="O14" s="65"/>
      <c r="P14" s="69"/>
      <c r="Q14" s="69"/>
      <c r="R14" s="65" t="s">
        <v>65</v>
      </c>
      <c r="S14" s="65" t="s">
        <v>65</v>
      </c>
      <c r="T14" s="65" t="s">
        <v>65</v>
      </c>
      <c r="U14" s="65" t="s">
        <v>65</v>
      </c>
      <c r="V14" s="65"/>
      <c r="W14" s="65"/>
      <c r="X14" s="65" t="s">
        <v>65</v>
      </c>
      <c r="Y14" s="65">
        <v>0</v>
      </c>
      <c r="Z14" s="70"/>
      <c r="AA14" s="51">
        <v>0</v>
      </c>
      <c r="AB14" s="51"/>
      <c r="AC14" s="51"/>
      <c r="AD14" s="51"/>
      <c r="AE14" s="51"/>
      <c r="AF14" s="51">
        <v>0</v>
      </c>
      <c r="AG14" s="51">
        <v>0</v>
      </c>
      <c r="AH14" s="51">
        <v>0</v>
      </c>
      <c r="AI14" s="6"/>
      <c r="AJ14" s="71"/>
      <c r="AK14" s="71"/>
      <c r="AL14" s="71"/>
      <c r="AM14" s="71"/>
      <c r="AN14" s="71"/>
      <c r="AO14" s="71"/>
      <c r="AP14" s="71"/>
      <c r="AQ14" s="71"/>
      <c r="AR14" s="51">
        <v>0</v>
      </c>
      <c r="AS14" s="51">
        <v>0</v>
      </c>
      <c r="AT14" s="51">
        <v>0</v>
      </c>
      <c r="AU14" s="51">
        <v>0</v>
      </c>
      <c r="AV14" s="51">
        <f t="shared" si="2"/>
        <v>0</v>
      </c>
      <c r="AW14" s="51">
        <v>0</v>
      </c>
      <c r="AX14" s="51">
        <v>0</v>
      </c>
      <c r="AY14" s="51"/>
      <c r="AZ14" s="69"/>
      <c r="BA14" s="51"/>
      <c r="BB14" s="51"/>
      <c r="BC14" s="72"/>
      <c r="BD14" s="51"/>
      <c r="BE14" s="73"/>
      <c r="BF14" s="51"/>
      <c r="BG14" s="74" t="str">
        <f t="shared" si="3"/>
        <v>description: "Сброс", note: "Сброс", group: "control", minValue: null, maxValue: null, step: null, units: "null", defaultValue: null, eventRegistration: 0</v>
      </c>
      <c r="BH14" s="75" t="s">
        <v>174</v>
      </c>
    </row>
    <row r="15" spans="1:16379" s="31" customFormat="1" ht="15.75" x14ac:dyDescent="0.25">
      <c r="A15" s="18"/>
      <c r="B15" s="18" t="s">
        <v>59</v>
      </c>
      <c r="C15" s="19"/>
      <c r="D15" s="20"/>
      <c r="E15" s="21" t="s">
        <v>158</v>
      </c>
      <c r="F15" s="21" t="s">
        <v>159</v>
      </c>
      <c r="G15" s="21" t="s">
        <v>159</v>
      </c>
      <c r="H15" s="21"/>
      <c r="I15" s="21">
        <f t="shared" si="0"/>
        <v>17</v>
      </c>
      <c r="J15" s="21" t="str">
        <f t="shared" si="1"/>
        <v>Включить от КП/УВ</v>
      </c>
      <c r="K15" s="18" t="s">
        <v>160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2"/>
        <v>0</v>
      </c>
      <c r="AW15" s="25">
        <v>0</v>
      </c>
      <c r="AX15" s="25">
        <v>0</v>
      </c>
      <c r="AY15" s="25"/>
      <c r="AZ15" s="23"/>
      <c r="BA15" s="25"/>
      <c r="BB15" s="25"/>
      <c r="BC15" s="27"/>
      <c r="BD15" s="25"/>
      <c r="BE15" s="28"/>
      <c r="BF15" s="25"/>
      <c r="BG15" s="29" t="str">
        <f t="shared" si="3"/>
        <v>description: "Включить от КП/УВ", note: "Включить от КП / УВ", group: "measurement", minValue: null, maxValue: null, step: null, units: "null", defaultValue: null, eventRegistration: 0</v>
      </c>
      <c r="BH15" s="30"/>
    </row>
    <row r="16" spans="1:16379" s="31" customFormat="1" ht="15.75" x14ac:dyDescent="0.25">
      <c r="A16" s="18"/>
      <c r="B16" s="18" t="s">
        <v>59</v>
      </c>
      <c r="C16" s="19"/>
      <c r="D16" s="20"/>
      <c r="E16" s="21" t="s">
        <v>161</v>
      </c>
      <c r="F16" s="21" t="s">
        <v>162</v>
      </c>
      <c r="G16" s="21" t="s">
        <v>162</v>
      </c>
      <c r="H16" s="21"/>
      <c r="I16" s="21">
        <f t="shared" si="0"/>
        <v>17</v>
      </c>
      <c r="J16" s="21" t="str">
        <f t="shared" si="1"/>
        <v>Включить от УВ/УВ</v>
      </c>
      <c r="K16" s="18" t="s">
        <v>163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 t="shared" si="2"/>
        <v>0</v>
      </c>
      <c r="AW16" s="25">
        <v>0</v>
      </c>
      <c r="AX16" s="25">
        <v>0</v>
      </c>
      <c r="AY16" s="25"/>
      <c r="AZ16" s="23"/>
      <c r="BA16" s="25"/>
      <c r="BB16" s="25"/>
      <c r="BC16" s="27"/>
      <c r="BD16" s="25"/>
      <c r="BE16" s="28"/>
      <c r="BF16" s="25"/>
      <c r="BG16" s="29" t="str">
        <f t="shared" si="3"/>
        <v>description: "Включить от УВ/УВ", note: "Включить от УВ / УВ", group: "measurement", minValue: null, maxValue: null, step: null, units: "null", defaultValue: null, eventRegistration: 0</v>
      </c>
      <c r="BH16" s="30"/>
    </row>
    <row r="17" spans="1:60" s="31" customFormat="1" ht="15.75" x14ac:dyDescent="0.25">
      <c r="A17" s="18"/>
      <c r="B17" s="63" t="s">
        <v>168</v>
      </c>
      <c r="C17" s="19"/>
      <c r="D17" s="20"/>
      <c r="E17" s="21" t="s">
        <v>87</v>
      </c>
      <c r="F17" s="21" t="s">
        <v>87</v>
      </c>
      <c r="G17" s="21" t="s">
        <v>87</v>
      </c>
      <c r="H17" s="21"/>
      <c r="I17" s="21">
        <f t="shared" si="0"/>
        <v>10</v>
      </c>
      <c r="J17" s="21" t="str">
        <f t="shared" si="1"/>
        <v>Работа ЭМВ</v>
      </c>
      <c r="K17" s="18" t="s">
        <v>88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2"/>
        <v>0</v>
      </c>
      <c r="AW17" s="25">
        <v>0</v>
      </c>
      <c r="AX17" s="25">
        <v>0</v>
      </c>
      <c r="AY17" s="25"/>
      <c r="AZ17" s="23"/>
      <c r="BA17" s="25"/>
      <c r="BB17" s="25"/>
      <c r="BC17" s="27"/>
      <c r="BD17" s="25"/>
      <c r="BE17" s="28"/>
      <c r="BF17" s="25"/>
      <c r="BG17" s="29" t="str">
        <f t="shared" si="3"/>
        <v>description: "Работа ЭМВ", note: "Работа ЭМВ", group: "input", minValue: null, maxValue: null, step: null, units: "null", defaultValue: null, eventRegistration: 0</v>
      </c>
      <c r="BH17" s="30"/>
    </row>
    <row r="18" spans="1:60" s="31" customFormat="1" ht="15.75" x14ac:dyDescent="0.25">
      <c r="A18" s="30"/>
      <c r="B18" s="30"/>
      <c r="C18" s="30"/>
      <c r="D18" s="30"/>
      <c r="R18" s="37"/>
      <c r="S18" s="60"/>
      <c r="T18" s="60"/>
      <c r="U18" s="60"/>
      <c r="V18" s="60"/>
      <c r="W18" s="60"/>
      <c r="X18" s="60"/>
      <c r="Y18" s="60"/>
      <c r="Z18" s="30"/>
      <c r="AA18" s="60"/>
      <c r="AB18" s="60"/>
      <c r="AC18" s="60"/>
      <c r="AD18" s="60"/>
      <c r="AE18" s="60"/>
      <c r="AF18" s="60"/>
      <c r="AG18" s="60"/>
      <c r="AH18" s="30"/>
      <c r="AI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1"/>
      <c r="BC18" s="60"/>
      <c r="BD18" s="61"/>
      <c r="BE18" s="60"/>
      <c r="BF18" s="60"/>
      <c r="BG18" s="30"/>
      <c r="BH18" s="30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topLeftCell="AO1" zoomScale="80" zoomScaleNormal="80" workbookViewId="0">
      <selection activeCell="AX19" sqref="AX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.42578125" style="2" customWidth="1" outlineLevel="1"/>
    <col min="8" max="8" width="34.42578125" style="2" customWidth="1" outlineLevel="1"/>
    <col min="9" max="9" width="7.28515625" style="2" bestFit="1" customWidth="1"/>
    <col min="10" max="10" width="33.5703125" style="2" bestFit="1" customWidth="1"/>
    <col min="11" max="11" width="28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6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8" t="s">
        <v>0</v>
      </c>
      <c r="BA1" s="89"/>
      <c r="BB1" s="89"/>
      <c r="BC1" s="89"/>
      <c r="BD1" s="89"/>
      <c r="BE1" s="89"/>
      <c r="BF1" s="8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77" t="s">
        <v>169</v>
      </c>
      <c r="AW2" s="77" t="s">
        <v>170</v>
      </c>
      <c r="AX2" s="77" t="s">
        <v>171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8"/>
      <c r="B3" s="78" t="s">
        <v>172</v>
      </c>
      <c r="C3" s="25"/>
      <c r="D3" s="34" t="s">
        <v>66</v>
      </c>
      <c r="E3" s="21" t="s">
        <v>89</v>
      </c>
      <c r="F3" s="35" t="s">
        <v>90</v>
      </c>
      <c r="G3" s="35" t="s">
        <v>90</v>
      </c>
      <c r="H3" s="8"/>
      <c r="I3" s="21">
        <f t="shared" ref="I3:I11" si="0">LEN(F3)</f>
        <v>4</v>
      </c>
      <c r="J3" s="21" t="str">
        <f t="shared" ref="J3:J11" si="1">IF(LEN(F3)&lt;=$J$1,F3,"")</f>
        <v>Ввод</v>
      </c>
      <c r="K3" s="24" t="s">
        <v>91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79" t="s">
        <v>175</v>
      </c>
      <c r="AJ3" s="36"/>
      <c r="AK3" s="36"/>
      <c r="AL3" s="36"/>
      <c r="AM3" s="36"/>
      <c r="AN3" s="36"/>
      <c r="AO3" s="36"/>
      <c r="AP3" s="36"/>
      <c r="AQ3" s="36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7" customFormat="1" ht="15.75" x14ac:dyDescent="0.25">
      <c r="A4" s="18"/>
      <c r="B4" s="78" t="s">
        <v>172</v>
      </c>
      <c r="C4" s="25"/>
      <c r="D4" s="34" t="s">
        <v>66</v>
      </c>
      <c r="E4" s="21" t="s">
        <v>92</v>
      </c>
      <c r="F4" s="35" t="s">
        <v>93</v>
      </c>
      <c r="G4" s="34" t="s">
        <v>93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94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79" t="s">
        <v>175</v>
      </c>
      <c r="AJ4" s="36"/>
      <c r="AK4" s="36"/>
      <c r="AL4" s="36"/>
      <c r="AM4" s="36"/>
      <c r="AN4" s="36"/>
      <c r="AO4" s="36"/>
      <c r="AP4" s="36"/>
      <c r="AQ4" s="36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50" customFormat="1" ht="15.75" x14ac:dyDescent="0.25">
      <c r="A5" s="38"/>
      <c r="B5" s="78" t="s">
        <v>172</v>
      </c>
      <c r="C5" s="39"/>
      <c r="D5" s="40" t="s">
        <v>95</v>
      </c>
      <c r="E5" s="41" t="s">
        <v>89</v>
      </c>
      <c r="F5" s="42" t="s">
        <v>90</v>
      </c>
      <c r="G5" s="40" t="s">
        <v>90</v>
      </c>
      <c r="H5" s="43"/>
      <c r="I5" s="41">
        <f t="shared" si="0"/>
        <v>4</v>
      </c>
      <c r="J5" s="41" t="str">
        <f t="shared" si="1"/>
        <v>Ввод</v>
      </c>
      <c r="K5" s="44" t="s">
        <v>96</v>
      </c>
      <c r="L5" s="45" t="s">
        <v>62</v>
      </c>
      <c r="M5" s="46" t="s">
        <v>63</v>
      </c>
      <c r="N5" s="46" t="s">
        <v>64</v>
      </c>
      <c r="O5" s="46"/>
      <c r="P5" s="47"/>
      <c r="Q5" s="47"/>
      <c r="R5" s="46" t="s">
        <v>65</v>
      </c>
      <c r="S5" s="46" t="s">
        <v>65</v>
      </c>
      <c r="T5" s="46" t="s">
        <v>65</v>
      </c>
      <c r="U5" s="46" t="s">
        <v>65</v>
      </c>
      <c r="V5" s="39"/>
      <c r="W5" s="39"/>
      <c r="X5" s="46" t="s">
        <v>65</v>
      </c>
      <c r="Y5" s="46">
        <v>2</v>
      </c>
      <c r="Z5" s="39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3"/>
      <c r="AJ5" s="48"/>
      <c r="AK5" s="48"/>
      <c r="AL5" s="48"/>
      <c r="AM5" s="48"/>
      <c r="AN5" s="48"/>
      <c r="AO5" s="48"/>
      <c r="AP5" s="48"/>
      <c r="AQ5" s="48"/>
      <c r="AR5" s="39">
        <v>0</v>
      </c>
      <c r="AS5" s="39">
        <v>1</v>
      </c>
      <c r="AT5" s="39">
        <v>0</v>
      </c>
      <c r="AU5" s="39">
        <v>1</v>
      </c>
      <c r="AV5" s="39">
        <v>1</v>
      </c>
      <c r="AW5" s="39">
        <v>1</v>
      </c>
      <c r="AX5" s="39">
        <v>1</v>
      </c>
      <c r="AY5" s="47"/>
      <c r="AZ5" s="39"/>
      <c r="BA5" s="39"/>
      <c r="BB5" s="39"/>
      <c r="BC5" s="39"/>
      <c r="BD5" s="39"/>
      <c r="BE5" s="39"/>
      <c r="BF5" s="39"/>
      <c r="BG5" s="49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6" spans="1:16379" s="50" customFormat="1" ht="15.75" x14ac:dyDescent="0.25">
      <c r="A6" s="38"/>
      <c r="B6" s="78" t="s">
        <v>172</v>
      </c>
      <c r="C6" s="46"/>
      <c r="D6" s="40" t="s">
        <v>95</v>
      </c>
      <c r="E6" s="41" t="s">
        <v>97</v>
      </c>
      <c r="F6" s="41" t="s">
        <v>98</v>
      </c>
      <c r="G6" s="41" t="s">
        <v>98</v>
      </c>
      <c r="H6" s="41"/>
      <c r="I6" s="41">
        <f t="shared" si="0"/>
        <v>17</v>
      </c>
      <c r="J6" s="41" t="str">
        <f t="shared" si="1"/>
        <v>Промеж. положение</v>
      </c>
      <c r="K6" s="38" t="s">
        <v>99</v>
      </c>
      <c r="L6" s="45" t="s">
        <v>62</v>
      </c>
      <c r="M6" s="46" t="s">
        <v>63</v>
      </c>
      <c r="N6" s="46" t="s">
        <v>64</v>
      </c>
      <c r="O6" s="46"/>
      <c r="P6" s="47"/>
      <c r="Q6" s="47"/>
      <c r="R6" s="46" t="s">
        <v>65</v>
      </c>
      <c r="S6" s="46" t="s">
        <v>65</v>
      </c>
      <c r="T6" s="46" t="s">
        <v>65</v>
      </c>
      <c r="U6" s="46" t="s">
        <v>65</v>
      </c>
      <c r="V6" s="46"/>
      <c r="W6" s="46"/>
      <c r="X6" s="46" t="s">
        <v>65</v>
      </c>
      <c r="Y6" s="46">
        <v>2</v>
      </c>
      <c r="Z6" s="44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3"/>
      <c r="AJ6" s="48"/>
      <c r="AK6" s="48"/>
      <c r="AL6" s="48"/>
      <c r="AM6" s="48"/>
      <c r="AN6" s="48"/>
      <c r="AO6" s="48"/>
      <c r="AP6" s="48"/>
      <c r="AQ6" s="48"/>
      <c r="AR6" s="39">
        <v>0</v>
      </c>
      <c r="AS6" s="39">
        <v>1</v>
      </c>
      <c r="AT6" s="39">
        <v>0</v>
      </c>
      <c r="AU6" s="39">
        <v>1</v>
      </c>
      <c r="AV6" s="39">
        <v>1</v>
      </c>
      <c r="AW6" s="39">
        <v>1</v>
      </c>
      <c r="AX6" s="39">
        <v>1</v>
      </c>
      <c r="AY6" s="47"/>
      <c r="AZ6" s="39"/>
      <c r="BA6" s="39"/>
      <c r="BB6" s="39"/>
      <c r="BC6" s="39"/>
      <c r="BD6" s="39"/>
      <c r="BE6" s="39"/>
      <c r="BF6" s="39"/>
      <c r="BG6" s="49" t="str">
        <f t="shared" si="2"/>
        <v>description: "Промеж. положение", note: "Промежуточное положение выключателя", group: "status", minValue: null, maxValue: null, step: null, units: "null", defaultValue: null, eventRegistration: 2</v>
      </c>
    </row>
    <row r="7" spans="1:16379" s="50" customFormat="1" ht="15.75" x14ac:dyDescent="0.25">
      <c r="A7" s="38"/>
      <c r="B7" s="78" t="s">
        <v>172</v>
      </c>
      <c r="C7" s="46"/>
      <c r="D7" s="40" t="s">
        <v>95</v>
      </c>
      <c r="E7" s="41" t="s">
        <v>100</v>
      </c>
      <c r="F7" s="41" t="s">
        <v>101</v>
      </c>
      <c r="G7" s="41" t="s">
        <v>101</v>
      </c>
      <c r="H7" s="41"/>
      <c r="I7" s="41">
        <f>LEN(F7)</f>
        <v>8</v>
      </c>
      <c r="J7" s="41" t="str">
        <f>IF(LEN(F7)&lt;=$J$1,F7,"")</f>
        <v>Отключен</v>
      </c>
      <c r="K7" s="38" t="s">
        <v>102</v>
      </c>
      <c r="L7" s="45" t="s">
        <v>62</v>
      </c>
      <c r="M7" s="46" t="s">
        <v>63</v>
      </c>
      <c r="N7" s="46" t="s">
        <v>64</v>
      </c>
      <c r="O7" s="46"/>
      <c r="P7" s="47"/>
      <c r="Q7" s="47"/>
      <c r="R7" s="46" t="s">
        <v>65</v>
      </c>
      <c r="S7" s="46" t="s">
        <v>65</v>
      </c>
      <c r="T7" s="46" t="s">
        <v>65</v>
      </c>
      <c r="U7" s="46" t="s">
        <v>65</v>
      </c>
      <c r="V7" s="46"/>
      <c r="W7" s="46"/>
      <c r="X7" s="46" t="s">
        <v>65</v>
      </c>
      <c r="Y7" s="46">
        <v>2</v>
      </c>
      <c r="Z7" s="44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3"/>
      <c r="AJ7" s="48"/>
      <c r="AK7" s="48"/>
      <c r="AL7" s="48"/>
      <c r="AM7" s="48"/>
      <c r="AN7" s="48"/>
      <c r="AO7" s="48"/>
      <c r="AP7" s="48"/>
      <c r="AQ7" s="48"/>
      <c r="AR7" s="39">
        <v>0</v>
      </c>
      <c r="AS7" s="39">
        <v>1</v>
      </c>
      <c r="AT7" s="39">
        <v>0</v>
      </c>
      <c r="AU7" s="39">
        <v>1</v>
      </c>
      <c r="AV7" s="39">
        <v>1</v>
      </c>
      <c r="AW7" s="39">
        <v>1</v>
      </c>
      <c r="AX7" s="39">
        <v>1</v>
      </c>
      <c r="AY7" s="47"/>
      <c r="AZ7" s="39"/>
      <c r="BA7" s="39"/>
      <c r="BB7" s="39"/>
      <c r="BC7" s="39"/>
      <c r="BD7" s="39"/>
      <c r="BE7" s="39"/>
      <c r="BF7" s="39"/>
      <c r="BG7" s="4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"status", minValue: null, maxValue: null, step: null, units: "null", defaultValue: null, eventRegistration: 2</v>
      </c>
    </row>
    <row r="8" spans="1:16379" s="50" customFormat="1" ht="15.75" x14ac:dyDescent="0.25">
      <c r="A8" s="38"/>
      <c r="B8" s="78" t="s">
        <v>172</v>
      </c>
      <c r="C8" s="46"/>
      <c r="D8" s="40" t="s">
        <v>95</v>
      </c>
      <c r="E8" s="41" t="s">
        <v>103</v>
      </c>
      <c r="F8" s="41" t="s">
        <v>104</v>
      </c>
      <c r="G8" s="41" t="s">
        <v>104</v>
      </c>
      <c r="H8" s="41"/>
      <c r="I8" s="41">
        <f t="shared" si="0"/>
        <v>7</v>
      </c>
      <c r="J8" s="41" t="str">
        <f t="shared" si="1"/>
        <v>Включен</v>
      </c>
      <c r="K8" s="38" t="s">
        <v>105</v>
      </c>
      <c r="L8" s="45" t="s">
        <v>62</v>
      </c>
      <c r="M8" s="46" t="s">
        <v>63</v>
      </c>
      <c r="N8" s="46" t="s">
        <v>64</v>
      </c>
      <c r="O8" s="46"/>
      <c r="P8" s="47"/>
      <c r="Q8" s="47"/>
      <c r="R8" s="46" t="s">
        <v>65</v>
      </c>
      <c r="S8" s="46" t="s">
        <v>65</v>
      </c>
      <c r="T8" s="46" t="s">
        <v>65</v>
      </c>
      <c r="U8" s="46" t="s">
        <v>65</v>
      </c>
      <c r="V8" s="46"/>
      <c r="W8" s="46"/>
      <c r="X8" s="46" t="s">
        <v>65</v>
      </c>
      <c r="Y8" s="46">
        <v>2</v>
      </c>
      <c r="Z8" s="44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3"/>
      <c r="AJ8" s="48"/>
      <c r="AK8" s="48"/>
      <c r="AL8" s="48"/>
      <c r="AM8" s="48"/>
      <c r="AN8" s="48"/>
      <c r="AO8" s="48"/>
      <c r="AP8" s="48"/>
      <c r="AQ8" s="48"/>
      <c r="AR8" s="39">
        <v>0</v>
      </c>
      <c r="AS8" s="39">
        <v>1</v>
      </c>
      <c r="AT8" s="39">
        <v>0</v>
      </c>
      <c r="AU8" s="39">
        <v>1</v>
      </c>
      <c r="AV8" s="39">
        <v>1</v>
      </c>
      <c r="AW8" s="39">
        <v>1</v>
      </c>
      <c r="AX8" s="39">
        <v>1</v>
      </c>
      <c r="AY8" s="47"/>
      <c r="AZ8" s="39"/>
      <c r="BA8" s="39"/>
      <c r="BB8" s="39"/>
      <c r="BC8" s="39"/>
      <c r="BD8" s="39"/>
      <c r="BE8" s="39"/>
      <c r="BF8" s="39"/>
      <c r="BG8" s="49" t="str">
        <f t="shared" si="2"/>
        <v>description: "Включен", note: "Выключатель включен", group: "status", minValue: null, maxValue: null, step: null, units: "null", defaultValue: null, eventRegistration: 2</v>
      </c>
    </row>
    <row r="9" spans="1:16379" s="50" customFormat="1" ht="15.75" x14ac:dyDescent="0.25">
      <c r="A9" s="38"/>
      <c r="B9" s="78" t="s">
        <v>172</v>
      </c>
      <c r="C9" s="46"/>
      <c r="D9" s="40" t="s">
        <v>95</v>
      </c>
      <c r="E9" s="41" t="s">
        <v>106</v>
      </c>
      <c r="F9" s="41" t="s">
        <v>107</v>
      </c>
      <c r="G9" s="41" t="s">
        <v>107</v>
      </c>
      <c r="H9" s="41"/>
      <c r="I9" s="41">
        <f t="shared" si="0"/>
        <v>17</v>
      </c>
      <c r="J9" s="41" t="str">
        <f t="shared" si="1"/>
        <v>Неиспр. положение</v>
      </c>
      <c r="K9" s="38" t="s">
        <v>108</v>
      </c>
      <c r="L9" s="45" t="s">
        <v>62</v>
      </c>
      <c r="M9" s="46" t="s">
        <v>63</v>
      </c>
      <c r="N9" s="46" t="s">
        <v>64</v>
      </c>
      <c r="O9" s="46"/>
      <c r="P9" s="47"/>
      <c r="Q9" s="47"/>
      <c r="R9" s="46" t="s">
        <v>65</v>
      </c>
      <c r="S9" s="46" t="s">
        <v>65</v>
      </c>
      <c r="T9" s="46" t="s">
        <v>65</v>
      </c>
      <c r="U9" s="46" t="s">
        <v>65</v>
      </c>
      <c r="V9" s="46"/>
      <c r="W9" s="46"/>
      <c r="X9" s="46" t="s">
        <v>65</v>
      </c>
      <c r="Y9" s="46">
        <v>2</v>
      </c>
      <c r="Z9" s="44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3"/>
      <c r="AJ9" s="48"/>
      <c r="AK9" s="48"/>
      <c r="AL9" s="48"/>
      <c r="AM9" s="48"/>
      <c r="AN9" s="48"/>
      <c r="AO9" s="48"/>
      <c r="AP9" s="48"/>
      <c r="AQ9" s="48"/>
      <c r="AR9" s="39">
        <v>0</v>
      </c>
      <c r="AS9" s="39">
        <v>1</v>
      </c>
      <c r="AT9" s="39">
        <v>0</v>
      </c>
      <c r="AU9" s="39">
        <v>1</v>
      </c>
      <c r="AV9" s="39">
        <v>1</v>
      </c>
      <c r="AW9" s="39">
        <v>1</v>
      </c>
      <c r="AX9" s="39">
        <v>1</v>
      </c>
      <c r="AY9" s="47"/>
      <c r="AZ9" s="39"/>
      <c r="BA9" s="39"/>
      <c r="BB9" s="39"/>
      <c r="BC9" s="39"/>
      <c r="BD9" s="39"/>
      <c r="BE9" s="39"/>
      <c r="BF9" s="39"/>
      <c r="BG9" s="49" t="str">
        <f t="shared" si="2"/>
        <v>description: "Неиспр. положение", note: "Неисправное положение выключателя", group: "status", minValue: null, maxValue: null, step: null, units: "null", defaultValue: null, eventRegistration: 2</v>
      </c>
    </row>
    <row r="10" spans="1:16379" s="50" customFormat="1" ht="15.75" x14ac:dyDescent="0.25">
      <c r="A10" s="38"/>
      <c r="B10" s="78" t="s">
        <v>172</v>
      </c>
      <c r="C10" s="46"/>
      <c r="D10" s="40" t="s">
        <v>95</v>
      </c>
      <c r="E10" s="84" t="s">
        <v>184</v>
      </c>
      <c r="F10" s="41" t="s">
        <v>109</v>
      </c>
      <c r="G10" s="41" t="s">
        <v>109</v>
      </c>
      <c r="H10" s="41"/>
      <c r="I10" s="41">
        <f t="shared" si="0"/>
        <v>16</v>
      </c>
      <c r="J10" s="41" t="str">
        <f t="shared" si="1"/>
        <v>Отключить (реле)</v>
      </c>
      <c r="K10" s="38" t="s">
        <v>110</v>
      </c>
      <c r="L10" s="45" t="s">
        <v>62</v>
      </c>
      <c r="M10" s="46" t="s">
        <v>63</v>
      </c>
      <c r="N10" s="46" t="s">
        <v>64</v>
      </c>
      <c r="O10" s="46"/>
      <c r="P10" s="47"/>
      <c r="Q10" s="47"/>
      <c r="R10" s="46" t="s">
        <v>65</v>
      </c>
      <c r="S10" s="46" t="s">
        <v>65</v>
      </c>
      <c r="T10" s="46" t="s">
        <v>65</v>
      </c>
      <c r="U10" s="46" t="s">
        <v>65</v>
      </c>
      <c r="V10" s="46"/>
      <c r="W10" s="46"/>
      <c r="X10" s="46" t="s">
        <v>65</v>
      </c>
      <c r="Y10" s="46">
        <v>2</v>
      </c>
      <c r="Z10" s="44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3"/>
      <c r="AJ10" s="48"/>
      <c r="AK10" s="48"/>
      <c r="AL10" s="48"/>
      <c r="AM10" s="48"/>
      <c r="AN10" s="48"/>
      <c r="AO10" s="48"/>
      <c r="AP10" s="48"/>
      <c r="AQ10" s="48"/>
      <c r="AR10" s="39">
        <v>0</v>
      </c>
      <c r="AS10" s="39">
        <v>1</v>
      </c>
      <c r="AT10" s="39">
        <v>0</v>
      </c>
      <c r="AU10" s="39">
        <v>1</v>
      </c>
      <c r="AV10" s="39">
        <v>1</v>
      </c>
      <c r="AW10" s="39">
        <v>1</v>
      </c>
      <c r="AX10" s="39">
        <v>1</v>
      </c>
      <c r="AY10" s="47"/>
      <c r="AZ10" s="39"/>
      <c r="BA10" s="39"/>
      <c r="BB10" s="39"/>
      <c r="BC10" s="39"/>
      <c r="BD10" s="39"/>
      <c r="BE10" s="39"/>
      <c r="BF10" s="39"/>
      <c r="BG10" s="49" t="str">
        <f t="shared" si="2"/>
        <v>description: "Отключить (реле)", note: "Команда &lt;&lt;отключить&gt;&gt; выключатель через выходное реле", group: "status", minValue: null, maxValue: null, step: null, units: "null", defaultValue: null, eventRegistration: 2</v>
      </c>
    </row>
    <row r="11" spans="1:16379" s="50" customFormat="1" ht="15.75" x14ac:dyDescent="0.25">
      <c r="A11" s="38"/>
      <c r="B11" s="78" t="s">
        <v>172</v>
      </c>
      <c r="C11" s="46"/>
      <c r="D11" s="40" t="s">
        <v>95</v>
      </c>
      <c r="E11" s="84" t="s">
        <v>185</v>
      </c>
      <c r="F11" s="41" t="s">
        <v>111</v>
      </c>
      <c r="G11" s="41" t="s">
        <v>111</v>
      </c>
      <c r="H11" s="41"/>
      <c r="I11" s="41">
        <f t="shared" si="0"/>
        <v>15</v>
      </c>
      <c r="J11" s="41" t="str">
        <f t="shared" si="1"/>
        <v>Включить (реле)</v>
      </c>
      <c r="K11" s="38" t="s">
        <v>112</v>
      </c>
      <c r="L11" s="45" t="s">
        <v>62</v>
      </c>
      <c r="M11" s="46" t="s">
        <v>63</v>
      </c>
      <c r="N11" s="46" t="s">
        <v>64</v>
      </c>
      <c r="O11" s="46"/>
      <c r="P11" s="47"/>
      <c r="Q11" s="47"/>
      <c r="R11" s="46" t="s">
        <v>65</v>
      </c>
      <c r="S11" s="46" t="s">
        <v>65</v>
      </c>
      <c r="T11" s="46" t="s">
        <v>65</v>
      </c>
      <c r="U11" s="46" t="s">
        <v>65</v>
      </c>
      <c r="V11" s="46"/>
      <c r="W11" s="46"/>
      <c r="X11" s="46" t="s">
        <v>65</v>
      </c>
      <c r="Y11" s="46">
        <v>2</v>
      </c>
      <c r="Z11" s="44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3"/>
      <c r="AJ11" s="48"/>
      <c r="AK11" s="48"/>
      <c r="AL11" s="48"/>
      <c r="AM11" s="48"/>
      <c r="AN11" s="48"/>
      <c r="AO11" s="48"/>
      <c r="AP11" s="48"/>
      <c r="AQ11" s="48"/>
      <c r="AR11" s="39">
        <v>0</v>
      </c>
      <c r="AS11" s="39">
        <v>1</v>
      </c>
      <c r="AT11" s="39">
        <v>0</v>
      </c>
      <c r="AU11" s="39">
        <v>1</v>
      </c>
      <c r="AV11" s="39">
        <v>1</v>
      </c>
      <c r="AW11" s="39">
        <v>1</v>
      </c>
      <c r="AX11" s="39">
        <v>1</v>
      </c>
      <c r="AY11" s="47"/>
      <c r="AZ11" s="39"/>
      <c r="BA11" s="39"/>
      <c r="BB11" s="39"/>
      <c r="BC11" s="39"/>
      <c r="BD11" s="39"/>
      <c r="BE11" s="39"/>
      <c r="BF11" s="39"/>
      <c r="BG11" s="49" t="str">
        <f t="shared" si="2"/>
        <v>description: "Включить (реле)", note: "Команда &lt;&lt;включить&gt;&gt; выключатель через выходное реле", group: "status", minValue: null, maxValue: null, step: null, units: "null", defaultValue: null, eventRegistration: 2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9"/>
  <sheetViews>
    <sheetView tabSelected="1" topLeftCell="C1" zoomScale="80" zoomScaleNormal="80" workbookViewId="0">
      <selection activeCell="E17" sqref="E16:E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8" width="23.42578125" style="2" customWidth="1" outlineLevel="1"/>
    <col min="9" max="9" width="42" style="2" customWidth="1" outlineLevel="1"/>
    <col min="10" max="10" width="10" style="2" customWidth="1"/>
    <col min="11" max="11" width="35.140625" style="2" customWidth="1"/>
    <col min="12" max="12" width="31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7.5703125" style="2" customWidth="1" outlineLevel="1"/>
    <col min="19" max="19" width="7.7109375" style="3" customWidth="1" outlineLevel="1"/>
    <col min="20" max="20" width="9.5703125" style="4" customWidth="1" outlineLevel="1"/>
    <col min="21" max="21" width="11.85546875" style="4" customWidth="1" outlineLevel="1"/>
    <col min="22" max="22" width="8.7109375" style="4" customWidth="1" outlineLevel="1"/>
    <col min="23" max="24" width="13.5703125" style="4" customWidth="1" outlineLevel="1"/>
    <col min="25" max="25" width="15.855468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9.28515625" style="1" customWidth="1"/>
    <col min="36" max="36" width="15" style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4257812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6.57031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3" hidden="1" customWidth="1" outlineLevel="1"/>
    <col min="56" max="56" width="13.28515625" style="4" hidden="1" customWidth="1" outlineLevel="1"/>
    <col min="57" max="57" width="13" style="3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SUM(AB3:AB46)</f>
        <v>0</v>
      </c>
      <c r="AJ1" s="51"/>
      <c r="AK1" s="7"/>
      <c r="AL1" s="7"/>
      <c r="AM1" s="7"/>
      <c r="AN1" s="7"/>
      <c r="AO1" s="7"/>
      <c r="AP1" s="7"/>
      <c r="AQ1" s="7"/>
      <c r="AR1" s="7"/>
      <c r="AS1" s="51"/>
      <c r="AT1" s="6"/>
      <c r="AU1" s="6"/>
      <c r="AV1" s="6"/>
      <c r="AW1" s="6"/>
      <c r="AX1" s="6"/>
      <c r="AY1" s="6"/>
      <c r="AZ1" s="8"/>
      <c r="BA1" s="88" t="s">
        <v>0</v>
      </c>
      <c r="BB1" s="89"/>
      <c r="BC1" s="89"/>
      <c r="BD1" s="89"/>
      <c r="BE1" s="89"/>
      <c r="BF1" s="89"/>
      <c r="BG1" s="89"/>
    </row>
    <row r="2" spans="1:16380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85" t="s">
        <v>189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4" customFormat="1" ht="15.75" x14ac:dyDescent="0.25">
      <c r="A3" s="18"/>
      <c r="B3" s="18" t="s">
        <v>113</v>
      </c>
      <c r="C3" s="19"/>
      <c r="D3" s="20" t="s">
        <v>66</v>
      </c>
      <c r="E3" s="21" t="s">
        <v>114</v>
      </c>
      <c r="F3" s="21" t="s">
        <v>115</v>
      </c>
      <c r="G3" s="21" t="s">
        <v>116</v>
      </c>
      <c r="H3" s="86" t="s">
        <v>116</v>
      </c>
      <c r="I3" s="21" t="s">
        <v>117</v>
      </c>
      <c r="J3" s="21">
        <f t="shared" ref="J3:J12" si="0">LEN(F3)</f>
        <v>12</v>
      </c>
      <c r="K3" s="21" t="str">
        <f t="shared" ref="K3:K12" si="1">IF(LEN(F3)&lt;=$K$1,F3,"")</f>
        <v>Ввод_функции</v>
      </c>
      <c r="L3" s="18" t="s">
        <v>118</v>
      </c>
      <c r="M3" s="22" t="s">
        <v>62</v>
      </c>
      <c r="N3" s="19" t="s">
        <v>64</v>
      </c>
      <c r="O3" s="19" t="s">
        <v>64</v>
      </c>
      <c r="P3" s="19"/>
      <c r="Q3" s="23">
        <v>0</v>
      </c>
      <c r="R3" s="23"/>
      <c r="S3" s="19" t="s">
        <v>65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4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80" t="s">
        <v>176</v>
      </c>
      <c r="AK3" s="25"/>
      <c r="AL3" s="25"/>
      <c r="AM3" s="25"/>
      <c r="AN3" s="25"/>
      <c r="AO3" s="25"/>
      <c r="AP3" s="25"/>
      <c r="AQ3" s="25"/>
      <c r="AR3" s="25"/>
      <c r="AS3" s="25">
        <v>0</v>
      </c>
      <c r="AT3" s="25">
        <v>0</v>
      </c>
      <c r="AU3" s="25">
        <v>0</v>
      </c>
      <c r="AV3" s="25">
        <v>0</v>
      </c>
      <c r="AW3" s="25">
        <f t="shared" ref="AW3:AW12" si="2">BIN2DEC(CONCATENATE(0,0,0,0,AS3,AT3,AU3,AV3))</f>
        <v>0</v>
      </c>
      <c r="AX3" s="25" t="s">
        <v>119</v>
      </c>
      <c r="AY3" s="25"/>
      <c r="AZ3" s="52"/>
      <c r="BA3" s="53"/>
      <c r="BB3" s="53"/>
      <c r="BC3" s="53"/>
      <c r="BD3" s="53"/>
      <c r="BE3" s="53"/>
      <c r="BF3" s="53"/>
      <c r="BG3" s="53"/>
      <c r="BH3" s="29" t="str">
        <f t="shared" ref="BH3:BH12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6" customFormat="1" ht="15.75" x14ac:dyDescent="0.25">
      <c r="A4" s="38"/>
      <c r="B4" s="38" t="s">
        <v>113</v>
      </c>
      <c r="C4" s="46"/>
      <c r="D4" s="55" t="s">
        <v>95</v>
      </c>
      <c r="E4" s="41" t="s">
        <v>114</v>
      </c>
      <c r="F4" s="41" t="s">
        <v>115</v>
      </c>
      <c r="G4" s="41" t="s">
        <v>116</v>
      </c>
      <c r="H4" s="86" t="s">
        <v>116</v>
      </c>
      <c r="I4" s="41" t="s">
        <v>117</v>
      </c>
      <c r="J4" s="41">
        <f t="shared" si="0"/>
        <v>12</v>
      </c>
      <c r="K4" s="41" t="str">
        <f t="shared" si="1"/>
        <v>Ввод_функции</v>
      </c>
      <c r="L4" s="62" t="s">
        <v>190</v>
      </c>
      <c r="M4" s="45" t="s">
        <v>62</v>
      </c>
      <c r="N4" s="46" t="s">
        <v>64</v>
      </c>
      <c r="O4" s="46" t="s">
        <v>64</v>
      </c>
      <c r="P4" s="46"/>
      <c r="Q4" s="47">
        <v>0</v>
      </c>
      <c r="R4" s="47"/>
      <c r="S4" s="46" t="s">
        <v>65</v>
      </c>
      <c r="T4" s="46">
        <v>0</v>
      </c>
      <c r="U4" s="46">
        <v>1</v>
      </c>
      <c r="V4" s="46">
        <v>1</v>
      </c>
      <c r="W4" s="46"/>
      <c r="X4" s="46"/>
      <c r="Y4" s="46">
        <v>0</v>
      </c>
      <c r="Z4" s="46">
        <v>0</v>
      </c>
      <c r="AA4" s="44"/>
      <c r="AB4" s="39">
        <v>0</v>
      </c>
      <c r="AC4" s="39"/>
      <c r="AD4" s="39"/>
      <c r="AE4" s="39"/>
      <c r="AF4" s="39"/>
      <c r="AG4" s="39">
        <v>0</v>
      </c>
      <c r="AH4" s="39">
        <v>0</v>
      </c>
      <c r="AI4" s="39">
        <v>0</v>
      </c>
      <c r="AJ4" s="39"/>
      <c r="AK4" s="39"/>
      <c r="AL4" s="39"/>
      <c r="AM4" s="39"/>
      <c r="AN4" s="39"/>
      <c r="AO4" s="39"/>
      <c r="AP4" s="39"/>
      <c r="AQ4" s="39"/>
      <c r="AR4" s="39"/>
      <c r="AS4" s="39">
        <v>0</v>
      </c>
      <c r="AT4" s="39">
        <v>0</v>
      </c>
      <c r="AU4" s="39">
        <v>0</v>
      </c>
      <c r="AV4" s="39">
        <v>0</v>
      </c>
      <c r="AW4" s="39">
        <f t="shared" si="2"/>
        <v>0</v>
      </c>
      <c r="AX4" s="39" t="s">
        <v>119</v>
      </c>
      <c r="AY4" s="39"/>
      <c r="AZ4" s="47"/>
      <c r="BA4" s="39"/>
      <c r="BB4" s="39"/>
      <c r="BC4" s="39"/>
      <c r="BD4" s="39"/>
      <c r="BE4" s="39"/>
      <c r="BF4" s="39"/>
      <c r="BG4" s="39"/>
      <c r="BH4" s="4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80" s="56" customFormat="1" ht="15.75" x14ac:dyDescent="0.25">
      <c r="A5" s="38"/>
      <c r="B5" s="38" t="s">
        <v>113</v>
      </c>
      <c r="C5" s="46"/>
      <c r="D5" s="55" t="s">
        <v>95</v>
      </c>
      <c r="E5" s="41" t="s">
        <v>164</v>
      </c>
      <c r="F5" s="41" t="s">
        <v>120</v>
      </c>
      <c r="G5" s="41" t="s">
        <v>121</v>
      </c>
      <c r="H5" s="86" t="s">
        <v>121</v>
      </c>
      <c r="I5" s="41" t="s">
        <v>122</v>
      </c>
      <c r="J5" s="41">
        <f t="shared" si="0"/>
        <v>10</v>
      </c>
      <c r="K5" s="41" t="str">
        <f t="shared" si="1"/>
        <v>Режим_откл</v>
      </c>
      <c r="L5" s="62" t="s">
        <v>191</v>
      </c>
      <c r="M5" s="45" t="s">
        <v>62</v>
      </c>
      <c r="N5" s="46" t="s">
        <v>64</v>
      </c>
      <c r="O5" s="46" t="s">
        <v>64</v>
      </c>
      <c r="P5" s="46"/>
      <c r="Q5" s="47">
        <v>0</v>
      </c>
      <c r="R5" s="47"/>
      <c r="S5" s="46" t="s">
        <v>65</v>
      </c>
      <c r="T5" s="46">
        <v>0</v>
      </c>
      <c r="U5" s="46">
        <v>1</v>
      </c>
      <c r="V5" s="46">
        <v>1</v>
      </c>
      <c r="W5" s="46"/>
      <c r="X5" s="46"/>
      <c r="Y5" s="46">
        <v>0</v>
      </c>
      <c r="Z5" s="46">
        <v>0</v>
      </c>
      <c r="AA5" s="44"/>
      <c r="AB5" s="39">
        <v>0</v>
      </c>
      <c r="AC5" s="39"/>
      <c r="AD5" s="39"/>
      <c r="AE5" s="39"/>
      <c r="AF5" s="39"/>
      <c r="AG5" s="39">
        <v>0</v>
      </c>
      <c r="AH5" s="39">
        <v>0</v>
      </c>
      <c r="AI5" s="39">
        <v>0</v>
      </c>
      <c r="AJ5" s="39"/>
      <c r="AK5" s="39"/>
      <c r="AL5" s="39"/>
      <c r="AM5" s="39"/>
      <c r="AN5" s="39"/>
      <c r="AO5" s="39"/>
      <c r="AP5" s="39"/>
      <c r="AQ5" s="39"/>
      <c r="AR5" s="39"/>
      <c r="AS5" s="39">
        <v>0</v>
      </c>
      <c r="AT5" s="39">
        <v>0</v>
      </c>
      <c r="AU5" s="39">
        <v>0</v>
      </c>
      <c r="AV5" s="39">
        <v>0</v>
      </c>
      <c r="AW5" s="39">
        <f t="shared" si="2"/>
        <v>0</v>
      </c>
      <c r="AX5" s="39" t="s">
        <v>166</v>
      </c>
      <c r="AY5" s="39"/>
      <c r="AZ5" s="47"/>
      <c r="BA5" s="39"/>
      <c r="BB5" s="39"/>
      <c r="BC5" s="39"/>
      <c r="BD5" s="39"/>
      <c r="BE5" s="39"/>
      <c r="BF5" s="39"/>
      <c r="BG5" s="39"/>
      <c r="BH5" s="49" t="str">
        <f t="shared" si="3"/>
        <v>description: "Режим_откл", note: "Режим отключения В", group: "setting", minValue: 0, maxValue: 1, step: 1, units: "null", defaultValue: 0, eventRegistration: 0</v>
      </c>
    </row>
    <row r="6" spans="1:16380" s="56" customFormat="1" ht="15.75" x14ac:dyDescent="0.25">
      <c r="A6" s="38"/>
      <c r="B6" s="38" t="s">
        <v>113</v>
      </c>
      <c r="C6" s="46"/>
      <c r="D6" s="55" t="s">
        <v>95</v>
      </c>
      <c r="E6" s="41" t="s">
        <v>123</v>
      </c>
      <c r="F6" s="41" t="s">
        <v>124</v>
      </c>
      <c r="G6" s="41" t="s">
        <v>125</v>
      </c>
      <c r="H6" s="86" t="s">
        <v>125</v>
      </c>
      <c r="I6" s="41" t="s">
        <v>117</v>
      </c>
      <c r="J6" s="41">
        <f t="shared" si="0"/>
        <v>13</v>
      </c>
      <c r="K6" s="41" t="str">
        <f t="shared" si="1"/>
        <v>Контр_раб_ЭМО</v>
      </c>
      <c r="L6" s="62" t="s">
        <v>192</v>
      </c>
      <c r="M6" s="45" t="s">
        <v>62</v>
      </c>
      <c r="N6" s="46" t="s">
        <v>64</v>
      </c>
      <c r="O6" s="46" t="s">
        <v>64</v>
      </c>
      <c r="P6" s="46"/>
      <c r="Q6" s="47">
        <v>0</v>
      </c>
      <c r="R6" s="47"/>
      <c r="S6" s="46" t="s">
        <v>65</v>
      </c>
      <c r="T6" s="46">
        <v>0</v>
      </c>
      <c r="U6" s="46">
        <v>1</v>
      </c>
      <c r="V6" s="46">
        <v>1</v>
      </c>
      <c r="W6" s="46"/>
      <c r="X6" s="46"/>
      <c r="Y6" s="46">
        <v>0</v>
      </c>
      <c r="Z6" s="46">
        <v>0</v>
      </c>
      <c r="AA6" s="44"/>
      <c r="AB6" s="39">
        <v>0</v>
      </c>
      <c r="AC6" s="39"/>
      <c r="AD6" s="39"/>
      <c r="AE6" s="39"/>
      <c r="AF6" s="39"/>
      <c r="AG6" s="39">
        <v>0</v>
      </c>
      <c r="AH6" s="39">
        <v>0</v>
      </c>
      <c r="AI6" s="39">
        <v>0</v>
      </c>
      <c r="AJ6" s="39"/>
      <c r="AK6" s="39"/>
      <c r="AL6" s="39"/>
      <c r="AM6" s="39"/>
      <c r="AN6" s="39"/>
      <c r="AO6" s="39"/>
      <c r="AP6" s="39"/>
      <c r="AQ6" s="39"/>
      <c r="AR6" s="39"/>
      <c r="AS6" s="39">
        <v>0</v>
      </c>
      <c r="AT6" s="39">
        <v>0</v>
      </c>
      <c r="AU6" s="39">
        <v>0</v>
      </c>
      <c r="AV6" s="39">
        <v>0</v>
      </c>
      <c r="AW6" s="39">
        <f t="shared" si="2"/>
        <v>0</v>
      </c>
      <c r="AX6" s="39" t="s">
        <v>119</v>
      </c>
      <c r="AY6" s="39"/>
      <c r="AZ6" s="47"/>
      <c r="BA6" s="39"/>
      <c r="BB6" s="39"/>
      <c r="BC6" s="39"/>
      <c r="BD6" s="39"/>
      <c r="BE6" s="39"/>
      <c r="BF6" s="39"/>
      <c r="BG6" s="39"/>
      <c r="BH6" s="49" t="str">
        <f t="shared" si="3"/>
        <v>description: "Контр_раб_ЭМО", note: "Контроль работы ЭМО", group: "setting", minValue: 0, maxValue: 1, step: 1, units: "null", defaultValue: 0, eventRegistration: 0</v>
      </c>
    </row>
    <row r="7" spans="1:16380" s="56" customFormat="1" ht="15.75" x14ac:dyDescent="0.25">
      <c r="A7" s="38"/>
      <c r="B7" s="38" t="s">
        <v>113</v>
      </c>
      <c r="C7" s="46"/>
      <c r="D7" s="55" t="s">
        <v>95</v>
      </c>
      <c r="E7" s="41" t="s">
        <v>165</v>
      </c>
      <c r="F7" s="41" t="s">
        <v>126</v>
      </c>
      <c r="G7" s="41" t="s">
        <v>127</v>
      </c>
      <c r="H7" s="86" t="s">
        <v>127</v>
      </c>
      <c r="I7" s="41" t="s">
        <v>122</v>
      </c>
      <c r="J7" s="41">
        <f t="shared" si="0"/>
        <v>9</v>
      </c>
      <c r="K7" s="41" t="str">
        <f t="shared" si="1"/>
        <v>Режим_вкл</v>
      </c>
      <c r="L7" s="62" t="s">
        <v>193</v>
      </c>
      <c r="M7" s="45" t="s">
        <v>62</v>
      </c>
      <c r="N7" s="46" t="s">
        <v>64</v>
      </c>
      <c r="O7" s="46" t="s">
        <v>64</v>
      </c>
      <c r="P7" s="46"/>
      <c r="Q7" s="47">
        <v>0</v>
      </c>
      <c r="R7" s="47"/>
      <c r="S7" s="46" t="s">
        <v>65</v>
      </c>
      <c r="T7" s="46">
        <v>0</v>
      </c>
      <c r="U7" s="46">
        <v>1</v>
      </c>
      <c r="V7" s="46">
        <v>1</v>
      </c>
      <c r="W7" s="46"/>
      <c r="X7" s="46"/>
      <c r="Y7" s="46">
        <v>0</v>
      </c>
      <c r="Z7" s="46">
        <v>0</v>
      </c>
      <c r="AA7" s="44"/>
      <c r="AB7" s="39">
        <v>0</v>
      </c>
      <c r="AC7" s="39"/>
      <c r="AD7" s="39"/>
      <c r="AE7" s="39"/>
      <c r="AF7" s="39"/>
      <c r="AG7" s="39">
        <v>0</v>
      </c>
      <c r="AH7" s="39">
        <v>0</v>
      </c>
      <c r="AI7" s="39">
        <v>0</v>
      </c>
      <c r="AJ7" s="39"/>
      <c r="AK7" s="39"/>
      <c r="AL7" s="39"/>
      <c r="AM7" s="39"/>
      <c r="AN7" s="39"/>
      <c r="AO7" s="39"/>
      <c r="AP7" s="39"/>
      <c r="AQ7" s="39"/>
      <c r="AR7" s="39"/>
      <c r="AS7" s="39">
        <v>0</v>
      </c>
      <c r="AT7" s="39">
        <v>0</v>
      </c>
      <c r="AU7" s="39">
        <v>0</v>
      </c>
      <c r="AV7" s="39">
        <v>0</v>
      </c>
      <c r="AW7" s="39">
        <f t="shared" si="2"/>
        <v>0</v>
      </c>
      <c r="AX7" s="39" t="s">
        <v>166</v>
      </c>
      <c r="AY7" s="39"/>
      <c r="AZ7" s="47"/>
      <c r="BA7" s="39"/>
      <c r="BB7" s="39"/>
      <c r="BC7" s="39"/>
      <c r="BD7" s="39"/>
      <c r="BE7" s="39"/>
      <c r="BF7" s="39"/>
      <c r="BG7" s="39"/>
      <c r="BH7" s="49" t="str">
        <f t="shared" si="3"/>
        <v>description: "Режим_вкл", note: "Режим включения В", group: "setting", minValue: 0, maxValue: 1, step: 1, units: "null", defaultValue: 0, eventRegistration: 0</v>
      </c>
    </row>
    <row r="8" spans="1:16380" s="56" customFormat="1" ht="15.75" x14ac:dyDescent="0.25">
      <c r="A8" s="38"/>
      <c r="B8" s="38" t="s">
        <v>113</v>
      </c>
      <c r="C8" s="46"/>
      <c r="D8" s="55" t="s">
        <v>95</v>
      </c>
      <c r="E8" s="41" t="s">
        <v>128</v>
      </c>
      <c r="F8" s="41" t="s">
        <v>129</v>
      </c>
      <c r="G8" s="41" t="s">
        <v>130</v>
      </c>
      <c r="H8" s="86" t="s">
        <v>130</v>
      </c>
      <c r="I8" s="41" t="s">
        <v>117</v>
      </c>
      <c r="J8" s="41">
        <f t="shared" si="0"/>
        <v>13</v>
      </c>
      <c r="K8" s="41" t="str">
        <f t="shared" si="1"/>
        <v>Контр_раб_ЭМВ</v>
      </c>
      <c r="L8" s="62" t="s">
        <v>194</v>
      </c>
      <c r="M8" s="45" t="s">
        <v>62</v>
      </c>
      <c r="N8" s="46" t="s">
        <v>64</v>
      </c>
      <c r="O8" s="46" t="s">
        <v>64</v>
      </c>
      <c r="P8" s="46"/>
      <c r="Q8" s="47">
        <v>0</v>
      </c>
      <c r="R8" s="47"/>
      <c r="S8" s="46" t="s">
        <v>65</v>
      </c>
      <c r="T8" s="46">
        <v>0</v>
      </c>
      <c r="U8" s="46">
        <v>1</v>
      </c>
      <c r="V8" s="46">
        <v>1</v>
      </c>
      <c r="W8" s="46"/>
      <c r="X8" s="46"/>
      <c r="Y8" s="46">
        <v>0</v>
      </c>
      <c r="Z8" s="46">
        <v>0</v>
      </c>
      <c r="AA8" s="44"/>
      <c r="AB8" s="39">
        <v>0</v>
      </c>
      <c r="AC8" s="39"/>
      <c r="AD8" s="39"/>
      <c r="AE8" s="39"/>
      <c r="AF8" s="39"/>
      <c r="AG8" s="39">
        <v>0</v>
      </c>
      <c r="AH8" s="39">
        <v>0</v>
      </c>
      <c r="AI8" s="39">
        <v>0</v>
      </c>
      <c r="AJ8" s="39"/>
      <c r="AK8" s="39"/>
      <c r="AL8" s="39"/>
      <c r="AM8" s="39"/>
      <c r="AN8" s="39"/>
      <c r="AO8" s="39"/>
      <c r="AP8" s="39"/>
      <c r="AQ8" s="39"/>
      <c r="AR8" s="39"/>
      <c r="AS8" s="39">
        <v>0</v>
      </c>
      <c r="AT8" s="39">
        <v>0</v>
      </c>
      <c r="AU8" s="39">
        <v>0</v>
      </c>
      <c r="AV8" s="39">
        <v>0</v>
      </c>
      <c r="AW8" s="39">
        <f t="shared" si="2"/>
        <v>0</v>
      </c>
      <c r="AX8" s="39" t="s">
        <v>119</v>
      </c>
      <c r="AY8" s="39"/>
      <c r="AZ8" s="47"/>
      <c r="BA8" s="39"/>
      <c r="BB8" s="39"/>
      <c r="BC8" s="39"/>
      <c r="BD8" s="39"/>
      <c r="BE8" s="39"/>
      <c r="BF8" s="39"/>
      <c r="BG8" s="39"/>
      <c r="BH8" s="49" t="str">
        <f t="shared" si="3"/>
        <v>description: "Контр_раб_ЭМВ", note: "Контроль работы ЭМВ", group: "setting", minValue: 0, maxValue: 1, step: 1, units: "null", defaultValue: 0, eventRegistration: 0</v>
      </c>
    </row>
    <row r="9" spans="1:16380" s="56" customFormat="1" ht="15.75" customHeight="1" x14ac:dyDescent="0.25">
      <c r="A9" s="38"/>
      <c r="B9" s="38" t="s">
        <v>113</v>
      </c>
      <c r="C9" s="46"/>
      <c r="D9" s="55" t="s">
        <v>95</v>
      </c>
      <c r="E9" s="41" t="s">
        <v>131</v>
      </c>
      <c r="F9" s="41" t="s">
        <v>132</v>
      </c>
      <c r="G9" s="41" t="s">
        <v>133</v>
      </c>
      <c r="H9" s="87" t="s">
        <v>133</v>
      </c>
      <c r="I9" s="41"/>
      <c r="J9" s="41">
        <f t="shared" si="0"/>
        <v>9</v>
      </c>
      <c r="K9" s="41" t="str">
        <f t="shared" si="1"/>
        <v>Tнеиспр_В</v>
      </c>
      <c r="L9" s="62" t="s">
        <v>195</v>
      </c>
      <c r="M9" s="45" t="s">
        <v>134</v>
      </c>
      <c r="N9" s="46" t="s">
        <v>64</v>
      </c>
      <c r="O9" s="46" t="s">
        <v>64</v>
      </c>
      <c r="P9" s="46"/>
      <c r="Q9" s="47">
        <v>2</v>
      </c>
      <c r="R9" s="47" t="s">
        <v>135</v>
      </c>
      <c r="S9" s="46" t="s">
        <v>136</v>
      </c>
      <c r="T9" s="46">
        <v>10</v>
      </c>
      <c r="U9" s="46">
        <v>10000</v>
      </c>
      <c r="V9" s="46">
        <v>10</v>
      </c>
      <c r="W9" s="46"/>
      <c r="X9" s="46"/>
      <c r="Y9" s="46">
        <v>10000</v>
      </c>
      <c r="Z9" s="46">
        <v>0</v>
      </c>
      <c r="AA9" s="44"/>
      <c r="AB9" s="39">
        <v>0</v>
      </c>
      <c r="AC9" s="39"/>
      <c r="AD9" s="39"/>
      <c r="AE9" s="39"/>
      <c r="AF9" s="39"/>
      <c r="AG9" s="39">
        <v>0</v>
      </c>
      <c r="AH9" s="39">
        <v>0</v>
      </c>
      <c r="AI9" s="39">
        <v>0</v>
      </c>
      <c r="AJ9" s="39"/>
      <c r="AK9" s="39"/>
      <c r="AL9" s="39"/>
      <c r="AM9" s="39"/>
      <c r="AN9" s="39"/>
      <c r="AO9" s="39"/>
      <c r="AP9" s="39"/>
      <c r="AQ9" s="48"/>
      <c r="AR9" s="39"/>
      <c r="AS9" s="39">
        <v>0</v>
      </c>
      <c r="AT9" s="39">
        <v>0</v>
      </c>
      <c r="AU9" s="39">
        <v>0</v>
      </c>
      <c r="AV9" s="39">
        <v>0</v>
      </c>
      <c r="AW9" s="39">
        <f t="shared" si="2"/>
        <v>0</v>
      </c>
      <c r="AX9" s="39"/>
      <c r="AY9" s="39"/>
      <c r="AZ9" s="47"/>
      <c r="BA9" s="39"/>
      <c r="BB9" s="39"/>
      <c r="BC9" s="39"/>
      <c r="BD9" s="39"/>
      <c r="BE9" s="39"/>
      <c r="BF9" s="39"/>
      <c r="BG9" s="39"/>
      <c r="BH9" s="49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80" s="56" customFormat="1" ht="15.75" customHeight="1" x14ac:dyDescent="0.25">
      <c r="A10" s="38"/>
      <c r="B10" s="38" t="s">
        <v>113</v>
      </c>
      <c r="C10" s="46"/>
      <c r="D10" s="55" t="s">
        <v>95</v>
      </c>
      <c r="E10" s="84" t="s">
        <v>186</v>
      </c>
      <c r="F10" s="41" t="s">
        <v>137</v>
      </c>
      <c r="G10" s="41" t="s">
        <v>138</v>
      </c>
      <c r="H10" s="87" t="s">
        <v>138</v>
      </c>
      <c r="I10" s="41"/>
      <c r="J10" s="41">
        <f t="shared" si="0"/>
        <v>9</v>
      </c>
      <c r="K10" s="41" t="str">
        <f t="shared" si="1"/>
        <v>Тимп_откл</v>
      </c>
      <c r="L10" s="62" t="s">
        <v>196</v>
      </c>
      <c r="M10" s="45" t="s">
        <v>134</v>
      </c>
      <c r="N10" s="46" t="s">
        <v>64</v>
      </c>
      <c r="O10" s="46" t="s">
        <v>64</v>
      </c>
      <c r="P10" s="46"/>
      <c r="Q10" s="47">
        <v>2</v>
      </c>
      <c r="R10" s="47" t="s">
        <v>135</v>
      </c>
      <c r="S10" s="46" t="s">
        <v>136</v>
      </c>
      <c r="T10" s="46">
        <v>50</v>
      </c>
      <c r="U10" s="46">
        <v>10000</v>
      </c>
      <c r="V10" s="46">
        <v>10</v>
      </c>
      <c r="W10" s="46"/>
      <c r="X10" s="46"/>
      <c r="Y10" s="46">
        <v>1000</v>
      </c>
      <c r="Z10" s="46">
        <v>0</v>
      </c>
      <c r="AA10" s="44"/>
      <c r="AB10" s="39">
        <v>0</v>
      </c>
      <c r="AC10" s="39"/>
      <c r="AD10" s="39"/>
      <c r="AE10" s="39"/>
      <c r="AF10" s="39"/>
      <c r="AG10" s="39">
        <v>0</v>
      </c>
      <c r="AH10" s="39">
        <v>0</v>
      </c>
      <c r="AI10" s="39">
        <v>0</v>
      </c>
      <c r="AJ10" s="39"/>
      <c r="AK10" s="39"/>
      <c r="AL10" s="39"/>
      <c r="AM10" s="39"/>
      <c r="AN10" s="39"/>
      <c r="AO10" s="39"/>
      <c r="AP10" s="39"/>
      <c r="AQ10" s="48"/>
      <c r="AR10" s="39"/>
      <c r="AS10" s="39">
        <v>0</v>
      </c>
      <c r="AT10" s="39">
        <v>0</v>
      </c>
      <c r="AU10" s="39">
        <v>0</v>
      </c>
      <c r="AV10" s="39">
        <v>0</v>
      </c>
      <c r="AW10" s="39">
        <f t="shared" si="2"/>
        <v>0</v>
      </c>
      <c r="AX10" s="39"/>
      <c r="AY10" s="39"/>
      <c r="AZ10" s="47"/>
      <c r="BA10" s="39"/>
      <c r="BB10" s="39"/>
      <c r="BC10" s="39"/>
      <c r="BD10" s="39"/>
      <c r="BE10" s="39"/>
      <c r="BF10" s="39"/>
      <c r="BG10" s="39"/>
      <c r="BH10" s="49" t="str">
        <f t="shared" si="3"/>
        <v>description: "Тимп_откл", note: "Длительность формирования команды &lt;&lt;Отключить В (реле)&gt;&gt;", group: "setting", minValue: 50, maxValue: 10000, step: 10, units: "мс", defaultValue: 1000, eventRegistration: 0</v>
      </c>
    </row>
    <row r="11" spans="1:16380" s="56" customFormat="1" ht="15.75" customHeight="1" x14ac:dyDescent="0.25">
      <c r="A11" s="38"/>
      <c r="B11" s="38" t="s">
        <v>113</v>
      </c>
      <c r="C11" s="46"/>
      <c r="D11" s="55" t="s">
        <v>95</v>
      </c>
      <c r="E11" s="84" t="s">
        <v>187</v>
      </c>
      <c r="F11" s="41" t="s">
        <v>139</v>
      </c>
      <c r="G11" s="41" t="s">
        <v>140</v>
      </c>
      <c r="H11" s="87" t="s">
        <v>140</v>
      </c>
      <c r="I11" s="41"/>
      <c r="J11" s="41">
        <f t="shared" si="0"/>
        <v>8</v>
      </c>
      <c r="K11" s="41" t="str">
        <f t="shared" si="1"/>
        <v>Тимп_вкл</v>
      </c>
      <c r="L11" s="62" t="s">
        <v>197</v>
      </c>
      <c r="M11" s="45" t="s">
        <v>134</v>
      </c>
      <c r="N11" s="46" t="s">
        <v>64</v>
      </c>
      <c r="O11" s="46" t="s">
        <v>64</v>
      </c>
      <c r="P11" s="46"/>
      <c r="Q11" s="47">
        <v>2</v>
      </c>
      <c r="R11" s="47" t="s">
        <v>135</v>
      </c>
      <c r="S11" s="46" t="s">
        <v>136</v>
      </c>
      <c r="T11" s="46">
        <v>50</v>
      </c>
      <c r="U11" s="46">
        <v>10000</v>
      </c>
      <c r="V11" s="46">
        <v>10</v>
      </c>
      <c r="W11" s="46"/>
      <c r="X11" s="46"/>
      <c r="Y11" s="46">
        <v>1000</v>
      </c>
      <c r="Z11" s="46">
        <v>0</v>
      </c>
      <c r="AA11" s="44"/>
      <c r="AB11" s="39">
        <v>0</v>
      </c>
      <c r="AC11" s="39"/>
      <c r="AD11" s="39"/>
      <c r="AE11" s="39"/>
      <c r="AF11" s="39"/>
      <c r="AG11" s="39">
        <v>0</v>
      </c>
      <c r="AH11" s="39">
        <v>0</v>
      </c>
      <c r="AI11" s="39">
        <v>0</v>
      </c>
      <c r="AJ11" s="39"/>
      <c r="AK11" s="39"/>
      <c r="AL11" s="39"/>
      <c r="AM11" s="39"/>
      <c r="AN11" s="39"/>
      <c r="AO11" s="39"/>
      <c r="AP11" s="39"/>
      <c r="AQ11" s="48"/>
      <c r="AR11" s="39"/>
      <c r="AS11" s="39">
        <v>0</v>
      </c>
      <c r="AT11" s="39">
        <v>0</v>
      </c>
      <c r="AU11" s="39">
        <v>0</v>
      </c>
      <c r="AV11" s="39">
        <v>0</v>
      </c>
      <c r="AW11" s="39">
        <f t="shared" si="2"/>
        <v>0</v>
      </c>
      <c r="AX11" s="39"/>
      <c r="AY11" s="39"/>
      <c r="AZ11" s="47"/>
      <c r="BA11" s="39"/>
      <c r="BB11" s="39"/>
      <c r="BC11" s="39"/>
      <c r="BD11" s="39"/>
      <c r="BE11" s="39"/>
      <c r="BF11" s="39"/>
      <c r="BG11" s="39"/>
      <c r="BH11" s="49" t="str">
        <f t="shared" si="3"/>
        <v>description: "Тимп_вкл", note: "Длительность формирования команды &lt;&lt;Включить В (реле)&gt;&gt;", group: "setting", minValue: 50, maxValue: 10000, step: 10, units: "мс", defaultValue: 1000, eventRegistration: 0</v>
      </c>
    </row>
    <row r="12" spans="1:16380" s="56" customFormat="1" ht="15.75" customHeight="1" x14ac:dyDescent="0.25">
      <c r="A12" s="38"/>
      <c r="B12" s="38" t="s">
        <v>113</v>
      </c>
      <c r="C12" s="46"/>
      <c r="D12" s="55" t="s">
        <v>95</v>
      </c>
      <c r="E12" s="84" t="s">
        <v>188</v>
      </c>
      <c r="F12" s="41" t="s">
        <v>141</v>
      </c>
      <c r="G12" s="41" t="s">
        <v>142</v>
      </c>
      <c r="H12" s="87" t="s">
        <v>142</v>
      </c>
      <c r="I12" s="41"/>
      <c r="J12" s="41">
        <f t="shared" si="0"/>
        <v>9</v>
      </c>
      <c r="K12" s="41" t="str">
        <f t="shared" si="1"/>
        <v>Тпрод_вкл</v>
      </c>
      <c r="L12" s="62" t="s">
        <v>198</v>
      </c>
      <c r="M12" s="45" t="s">
        <v>134</v>
      </c>
      <c r="N12" s="46" t="s">
        <v>64</v>
      </c>
      <c r="O12" s="46" t="s">
        <v>64</v>
      </c>
      <c r="P12" s="46"/>
      <c r="Q12" s="47">
        <v>2</v>
      </c>
      <c r="R12" s="47" t="s">
        <v>135</v>
      </c>
      <c r="S12" s="46" t="s">
        <v>136</v>
      </c>
      <c r="T12" s="46">
        <v>0</v>
      </c>
      <c r="U12" s="46">
        <v>1000</v>
      </c>
      <c r="V12" s="46">
        <v>10</v>
      </c>
      <c r="W12" s="46"/>
      <c r="X12" s="46"/>
      <c r="Y12" s="46">
        <v>1000</v>
      </c>
      <c r="Z12" s="46">
        <v>0</v>
      </c>
      <c r="AA12" s="44"/>
      <c r="AB12" s="39">
        <v>0</v>
      </c>
      <c r="AC12" s="39"/>
      <c r="AD12" s="39"/>
      <c r="AE12" s="39"/>
      <c r="AF12" s="39"/>
      <c r="AG12" s="39">
        <v>0</v>
      </c>
      <c r="AH12" s="39">
        <v>0</v>
      </c>
      <c r="AI12" s="39">
        <v>0</v>
      </c>
      <c r="AJ12" s="39"/>
      <c r="AK12" s="39"/>
      <c r="AL12" s="39"/>
      <c r="AM12" s="39"/>
      <c r="AN12" s="39"/>
      <c r="AO12" s="39"/>
      <c r="AP12" s="39"/>
      <c r="AQ12" s="48"/>
      <c r="AR12" s="39"/>
      <c r="AS12" s="39">
        <v>0</v>
      </c>
      <c r="AT12" s="39">
        <v>0</v>
      </c>
      <c r="AU12" s="39">
        <v>0</v>
      </c>
      <c r="AV12" s="39">
        <v>0</v>
      </c>
      <c r="AW12" s="39">
        <f t="shared" si="2"/>
        <v>0</v>
      </c>
      <c r="AX12" s="39"/>
      <c r="AY12" s="39"/>
      <c r="AZ12" s="47"/>
      <c r="BA12" s="39"/>
      <c r="BB12" s="39"/>
      <c r="BC12" s="39"/>
      <c r="BD12" s="39"/>
      <c r="BE12" s="39"/>
      <c r="BF12" s="39"/>
      <c r="BG12" s="39"/>
      <c r="BH12" s="49" t="str">
        <f t="shared" si="3"/>
        <v>description: "Тпрод_вкл", note: "Время для исключения &lt;&lt;опрокидывания&gt;&gt; В", group: "setting", minValue: 0, maxValue: 1000, step: 10, units: "мс", defaultValue: 1000, eventRegistration: 0</v>
      </c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3"/>
      <c r="BD13" s="4"/>
      <c r="BE13" s="3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3"/>
      <c r="BD14" s="4"/>
      <c r="BE14" s="3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3"/>
      <c r="BD15" s="4"/>
      <c r="BE15" s="3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3"/>
      <c r="BD16" s="4"/>
      <c r="BE16" s="33"/>
      <c r="BF16" s="4"/>
      <c r="BG16" s="4"/>
      <c r="BH16" s="1"/>
      <c r="BI16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3"/>
      <c r="BD18" s="4"/>
      <c r="BE18" s="3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3"/>
      <c r="BD19" s="4"/>
      <c r="BE19" s="3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3"/>
      <c r="BD20" s="4"/>
      <c r="BE20" s="3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3"/>
      <c r="BD21" s="4"/>
      <c r="BE21" s="3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3"/>
      <c r="BD22" s="4"/>
      <c r="BE22" s="3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3"/>
      <c r="BD23" s="4"/>
      <c r="BE23" s="3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3"/>
      <c r="BD24" s="4"/>
      <c r="BE24" s="3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3"/>
      <c r="BD25" s="4"/>
      <c r="BE25" s="3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3"/>
      <c r="BD26" s="4"/>
      <c r="BE26" s="3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3"/>
      <c r="BD27" s="4"/>
      <c r="BE27" s="3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3"/>
      <c r="BD28" s="4"/>
      <c r="BE28" s="3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3"/>
      <c r="BD29" s="4"/>
      <c r="BE29" s="3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3"/>
      <c r="BD30" s="4"/>
      <c r="BE30" s="3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3"/>
      <c r="BD31" s="4"/>
      <c r="BE31" s="3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3"/>
      <c r="BD32" s="4"/>
      <c r="BE32" s="3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3"/>
      <c r="BD33" s="4"/>
      <c r="BE33" s="3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3"/>
      <c r="BD34" s="4"/>
      <c r="BE34" s="3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3"/>
      <c r="BD35" s="4"/>
      <c r="BE35" s="3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3"/>
      <c r="BD36" s="4"/>
      <c r="BE36" s="3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3"/>
      <c r="BD37" s="4"/>
      <c r="BE37" s="3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3"/>
      <c r="BD38" s="4"/>
      <c r="BE38" s="3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3"/>
      <c r="BD39" s="4"/>
      <c r="BE39" s="3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3"/>
      <c r="BD40" s="4"/>
      <c r="BE40" s="3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3"/>
      <c r="BD41" s="4"/>
      <c r="BE41" s="3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3"/>
      <c r="BD42" s="4"/>
      <c r="BE42" s="3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3"/>
      <c r="BD43" s="4"/>
      <c r="BE43" s="3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3"/>
      <c r="BD44" s="4"/>
      <c r="BE44" s="3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3"/>
      <c r="BD45" s="4"/>
      <c r="BE45" s="3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3"/>
      <c r="BD46" s="4"/>
      <c r="BE46" s="3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3"/>
      <c r="BD47" s="4"/>
      <c r="BE47" s="3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3"/>
      <c r="BD48" s="4"/>
      <c r="BE48" s="3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3"/>
      <c r="BD49" s="4"/>
      <c r="BE49" s="3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3"/>
      <c r="BD50" s="4"/>
      <c r="BE50" s="3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3"/>
      <c r="BD51" s="4"/>
      <c r="BE51" s="3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3"/>
      <c r="BD52" s="4"/>
      <c r="BE52" s="3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3"/>
      <c r="BD53" s="4"/>
      <c r="BE53" s="3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3"/>
      <c r="BD54" s="4"/>
      <c r="BE54" s="3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3"/>
      <c r="BD55" s="4"/>
      <c r="BE55" s="3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3"/>
      <c r="BD56" s="4"/>
      <c r="BE56" s="3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3"/>
      <c r="BD57" s="4"/>
      <c r="BE57" s="3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3"/>
      <c r="BD58" s="4"/>
      <c r="BE58" s="3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3"/>
      <c r="BD59" s="4"/>
      <c r="BE59" s="3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3"/>
      <c r="BD60" s="4"/>
      <c r="BE60" s="3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3"/>
      <c r="BD61" s="4"/>
      <c r="BE61" s="3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3"/>
      <c r="BD62" s="4"/>
      <c r="BE62" s="3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3"/>
      <c r="BD63" s="4"/>
      <c r="BE63" s="3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3"/>
      <c r="BD64" s="4"/>
      <c r="BE64" s="3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3"/>
      <c r="BD65" s="4"/>
      <c r="BE65" s="3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3"/>
      <c r="BD66" s="4"/>
      <c r="BE66" s="3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3"/>
      <c r="BD67" s="4"/>
      <c r="BE67" s="3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3"/>
      <c r="BD68" s="4"/>
      <c r="BE68" s="3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3"/>
      <c r="BD69" s="4"/>
      <c r="BE69" s="3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3"/>
      <c r="BD70" s="4"/>
      <c r="BE70" s="3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3"/>
      <c r="BD71" s="4"/>
      <c r="BE71" s="3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3"/>
      <c r="BD72" s="4"/>
      <c r="BE72" s="3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3"/>
      <c r="BD73" s="4"/>
      <c r="BE73" s="3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3"/>
      <c r="BD74" s="4"/>
      <c r="BE74" s="3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3"/>
      <c r="BD75" s="4"/>
      <c r="BE75" s="3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3"/>
      <c r="BD76" s="4"/>
      <c r="BE76" s="3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3"/>
      <c r="BD77" s="4"/>
      <c r="BE77" s="3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3"/>
      <c r="BD78" s="4"/>
      <c r="BE78" s="3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3"/>
      <c r="BD79" s="4"/>
      <c r="BE79" s="3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3"/>
      <c r="BD80" s="4"/>
      <c r="BE80" s="3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3"/>
      <c r="BD81" s="4"/>
      <c r="BE81" s="3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3"/>
      <c r="BD82" s="4"/>
      <c r="BE82" s="3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3"/>
      <c r="BD83" s="4"/>
      <c r="BE83" s="3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3"/>
      <c r="BD84" s="4"/>
      <c r="BE84" s="3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3"/>
      <c r="BD85" s="4"/>
      <c r="BE85" s="3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3"/>
      <c r="BD86" s="4"/>
      <c r="BE86" s="3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3"/>
      <c r="BD87" s="4"/>
      <c r="BE87" s="3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3"/>
      <c r="BD88" s="4"/>
      <c r="BE88" s="3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3"/>
      <c r="BD89" s="4"/>
      <c r="BE89" s="3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3"/>
      <c r="BD90" s="4"/>
      <c r="BE90" s="3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3"/>
      <c r="BD91" s="4"/>
      <c r="BE91" s="3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3"/>
      <c r="BD92" s="4"/>
      <c r="BE92" s="3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3"/>
      <c r="BD93" s="4"/>
      <c r="BE93" s="3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3"/>
      <c r="BD94" s="4"/>
      <c r="BE94" s="3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3"/>
      <c r="BD95" s="4"/>
      <c r="BE95" s="3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3"/>
      <c r="BD96" s="4"/>
      <c r="BE96" s="3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3"/>
      <c r="BD97" s="4"/>
      <c r="BE97" s="3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3"/>
      <c r="BD98" s="4"/>
      <c r="BE98" s="3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3"/>
      <c r="BD99" s="4"/>
      <c r="BE99" s="3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3"/>
      <c r="BD100" s="4"/>
      <c r="BE100" s="3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3"/>
      <c r="BD101" s="4"/>
      <c r="BE101" s="3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3"/>
      <c r="BD102" s="4"/>
      <c r="BE102" s="3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3"/>
      <c r="BD103" s="4"/>
      <c r="BE103" s="3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3"/>
      <c r="BD104" s="4"/>
      <c r="BE104" s="3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3"/>
      <c r="BD105" s="4"/>
      <c r="BE105" s="3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3"/>
      <c r="BD106" s="4"/>
      <c r="BE106" s="3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3"/>
      <c r="BD107" s="4"/>
      <c r="BE107" s="3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3"/>
      <c r="BD108" s="4"/>
      <c r="BE108" s="3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3"/>
      <c r="BD109" s="4"/>
      <c r="BE109" s="3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3"/>
      <c r="BD110" s="4"/>
      <c r="BE110" s="3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3"/>
      <c r="BD111" s="4"/>
      <c r="BE111" s="3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3"/>
      <c r="BD112" s="4"/>
      <c r="BE112" s="3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3"/>
      <c r="BD113" s="4"/>
      <c r="BE113" s="3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3"/>
      <c r="BD114" s="4"/>
      <c r="BE114" s="3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3"/>
      <c r="BD115" s="4"/>
      <c r="BE115" s="3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3"/>
      <c r="BD116" s="4"/>
      <c r="BE116" s="3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3"/>
      <c r="BD117" s="4"/>
      <c r="BE117" s="3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3"/>
      <c r="BD118" s="4"/>
      <c r="BE118" s="3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3"/>
      <c r="BD119" s="4"/>
      <c r="BE119" s="3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3"/>
      <c r="BD120" s="4"/>
      <c r="BE120" s="3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3"/>
      <c r="BD121" s="4"/>
      <c r="BE121" s="3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3"/>
      <c r="BD122" s="4"/>
      <c r="BE122" s="3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3"/>
      <c r="BD123" s="4"/>
      <c r="BE123" s="3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3"/>
      <c r="BD124" s="4"/>
      <c r="BE124" s="3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3"/>
      <c r="BD125" s="4"/>
      <c r="BE125" s="3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3"/>
      <c r="BD126" s="4"/>
      <c r="BE126" s="3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3"/>
      <c r="BD127" s="4"/>
      <c r="BE127" s="3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3"/>
      <c r="BD128" s="4"/>
      <c r="BE128" s="3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3"/>
      <c r="BD129" s="4"/>
      <c r="BE129" s="3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3"/>
      <c r="BD130" s="4"/>
      <c r="BE130" s="3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3"/>
      <c r="BD131" s="4"/>
      <c r="BE131" s="3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3"/>
      <c r="BD132" s="4"/>
      <c r="BE132" s="3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3"/>
      <c r="BD133" s="4"/>
      <c r="BE133" s="3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3"/>
      <c r="BD134" s="4"/>
      <c r="BE134" s="3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3"/>
      <c r="BD135" s="4"/>
      <c r="BE135" s="3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3"/>
      <c r="BD136" s="4"/>
      <c r="BE136" s="3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3"/>
      <c r="BD137" s="4"/>
      <c r="BE137" s="3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3"/>
      <c r="BD138" s="4"/>
      <c r="BE138" s="3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3"/>
      <c r="BD139" s="4"/>
      <c r="BE139" s="3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3"/>
      <c r="BD140" s="4"/>
      <c r="BE140" s="3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3"/>
      <c r="BD141" s="4"/>
      <c r="BE141" s="3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3"/>
      <c r="BD142" s="4"/>
      <c r="BE142" s="3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3"/>
      <c r="BD143" s="4"/>
      <c r="BE143" s="3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3"/>
      <c r="BD144" s="4"/>
      <c r="BE144" s="3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3"/>
      <c r="BD145" s="4"/>
      <c r="BE145" s="3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3"/>
      <c r="BD146" s="4"/>
      <c r="BE146" s="3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3"/>
      <c r="BD147" s="4"/>
      <c r="BE147" s="3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3"/>
      <c r="BD148" s="4"/>
      <c r="BE148" s="3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3"/>
      <c r="BD149" s="4"/>
      <c r="BE149" s="3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3"/>
      <c r="BD150" s="4"/>
      <c r="BE150" s="3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33"/>
      <c r="BD151" s="4"/>
      <c r="BE151" s="3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33"/>
      <c r="BD152" s="4"/>
      <c r="BE152" s="3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33"/>
      <c r="BD153" s="4"/>
      <c r="BE153" s="3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33"/>
      <c r="BD154" s="4"/>
      <c r="BE154" s="3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33"/>
      <c r="BD155" s="4"/>
      <c r="BE155" s="3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3"/>
      <c r="BD156" s="4"/>
      <c r="BE156" s="3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3"/>
      <c r="BD157" s="4"/>
      <c r="BE157" s="3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3"/>
      <c r="BD158" s="4"/>
      <c r="BE158" s="3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3"/>
      <c r="BD159" s="4"/>
      <c r="BE159" s="3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3"/>
      <c r="BD160" s="4"/>
      <c r="BE160" s="3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3"/>
      <c r="BD161" s="4"/>
      <c r="BE161" s="3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3"/>
      <c r="BD162" s="4"/>
      <c r="BE162" s="3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3"/>
      <c r="BD163" s="4"/>
      <c r="BE163" s="3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3"/>
      <c r="BD164" s="4"/>
      <c r="BE164" s="3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3"/>
      <c r="BD165" s="4"/>
      <c r="BE165" s="3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3"/>
      <c r="BD166" s="4"/>
      <c r="BE166" s="3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3"/>
      <c r="BD167" s="4"/>
      <c r="BE167" s="3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3"/>
      <c r="BD168" s="4"/>
      <c r="BE168" s="3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3"/>
      <c r="BD169" s="4"/>
      <c r="BE169" s="3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3"/>
      <c r="BD170" s="4"/>
      <c r="BE170" s="3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3"/>
      <c r="BD171" s="4"/>
      <c r="BE171" s="3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3"/>
      <c r="BD172" s="4"/>
      <c r="BE172" s="3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3"/>
      <c r="BD173" s="4"/>
      <c r="BE173" s="3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3"/>
      <c r="BD174" s="4"/>
      <c r="BE174" s="3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3"/>
      <c r="BD175" s="4"/>
      <c r="BE175" s="3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3"/>
      <c r="BD176" s="4"/>
      <c r="BE176" s="3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3"/>
      <c r="BD177" s="4"/>
      <c r="BE177" s="3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3"/>
      <c r="BD178" s="4"/>
      <c r="BE178" s="3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3"/>
      <c r="BD179" s="4"/>
      <c r="BE179" s="3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3"/>
      <c r="BD180" s="4"/>
      <c r="BE180" s="3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3"/>
      <c r="BD181" s="4"/>
      <c r="BE181" s="3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3"/>
      <c r="BD182" s="4"/>
      <c r="BE182" s="3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3"/>
      <c r="BD183" s="4"/>
      <c r="BE183" s="3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3"/>
      <c r="BD184" s="4"/>
      <c r="BE184" s="3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3"/>
      <c r="BD185" s="4"/>
      <c r="BE185" s="3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3"/>
      <c r="BD186" s="4"/>
      <c r="BE186" s="3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3"/>
      <c r="BD187" s="4"/>
      <c r="BE187" s="3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3"/>
      <c r="BD188" s="4"/>
      <c r="BE188" s="3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3"/>
      <c r="BD189" s="4"/>
      <c r="BE189" s="33"/>
      <c r="BF189" s="4"/>
      <c r="BG189" s="4"/>
      <c r="BH189" s="1"/>
      <c r="BI18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G9" sqref="G9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9" t="s">
        <v>143</v>
      </c>
      <c r="B2" s="9" t="s">
        <v>144</v>
      </c>
    </row>
    <row r="3" spans="1:2" x14ac:dyDescent="0.25">
      <c r="A3" s="57" t="s">
        <v>145</v>
      </c>
      <c r="B3" s="58" t="s">
        <v>66</v>
      </c>
    </row>
    <row r="4" spans="1:2" x14ac:dyDescent="0.25">
      <c r="A4" s="57" t="s">
        <v>146</v>
      </c>
      <c r="B4" s="59">
        <v>540</v>
      </c>
    </row>
    <row r="5" spans="1:2" x14ac:dyDescent="0.25">
      <c r="A5" s="57" t="s">
        <v>147</v>
      </c>
      <c r="B5" s="58" t="s">
        <v>64</v>
      </c>
    </row>
    <row r="6" spans="1:2" x14ac:dyDescent="0.25">
      <c r="A6" s="57" t="s">
        <v>148</v>
      </c>
      <c r="B6" s="58" t="s">
        <v>181</v>
      </c>
    </row>
    <row r="7" spans="1:2" x14ac:dyDescent="0.25">
      <c r="A7" s="57" t="s">
        <v>149</v>
      </c>
      <c r="B7" s="58">
        <v>1</v>
      </c>
    </row>
    <row r="8" spans="1:2" s="82" customFormat="1" x14ac:dyDescent="0.25">
      <c r="A8" s="81" t="s">
        <v>177</v>
      </c>
      <c r="B8" t="s">
        <v>179</v>
      </c>
    </row>
    <row r="9" spans="1:2" s="82" customFormat="1" x14ac:dyDescent="0.25">
      <c r="A9" s="81" t="s">
        <v>178</v>
      </c>
      <c r="B9" s="81"/>
    </row>
    <row r="10" spans="1:2" s="82" customFormat="1" x14ac:dyDescent="0.25">
      <c r="A10" s="20" t="s">
        <v>66</v>
      </c>
      <c r="B10" t="s">
        <v>179</v>
      </c>
    </row>
    <row r="11" spans="1:2" s="82" customFormat="1" x14ac:dyDescent="0.25">
      <c r="A11" s="83" t="s">
        <v>95</v>
      </c>
      <c r="B11" t="s">
        <v>180</v>
      </c>
    </row>
    <row r="12" spans="1:2" s="82" customFormat="1" x14ac:dyDescent="0.25">
      <c r="A12" s="81" t="s">
        <v>178</v>
      </c>
      <c r="B12" s="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2025-07-21T08:03:18Z</dcterms:modified>
</cp:coreProperties>
</file>