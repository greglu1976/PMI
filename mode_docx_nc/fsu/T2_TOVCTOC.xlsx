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J5" i="6" l="1"/>
  <c r="K5" i="6" l="1"/>
  <c r="J9" i="4"/>
  <c r="J10" i="4"/>
  <c r="J11" i="4"/>
  <c r="BG8" i="4" l="1"/>
  <c r="AV8" i="4"/>
  <c r="J8" i="4"/>
  <c r="I8" i="4"/>
  <c r="AQ5" i="6" l="1"/>
  <c r="BH5" i="6"/>
  <c r="AW5" i="6"/>
  <c r="AP7" i="5"/>
  <c r="BG8" i="5"/>
  <c r="J8" i="5"/>
  <c r="I8" i="5"/>
  <c r="BG7" i="5"/>
  <c r="J7" i="5"/>
  <c r="I7" i="5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AV7" i="4"/>
  <c r="J7" i="4"/>
  <c r="I7" i="4"/>
  <c r="BG12" i="5" l="1"/>
  <c r="BG11" i="5"/>
  <c r="BG10" i="5"/>
  <c r="BG9" i="5"/>
  <c r="BH4" i="6"/>
  <c r="AW4" i="6"/>
  <c r="AQ4" i="6"/>
  <c r="K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<sst xmlns="http://schemas.openxmlformats.org/spreadsheetml/2006/main" count="557" uniqueCount="193">
  <si>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</si>
  <si>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</si>
  <si>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</si>
  <si>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</si>
  <si>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</si>
  <si>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</si>
  <si>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</si>
  <si>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</si>
  <si>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</si>
  <si>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</si>
  <si>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</si>
  <si>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</si>
  <si>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</si>
  <si>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</si>
  <si>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</si>
  <si>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</si>
  <si>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</si>
  <si>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</si>
  <si>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</si>
  <si>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</si>
  <si>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</si>
  <si>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</si>
  <si>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</si>
  <si>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</si>
  <si>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</si>
  <si>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</si>
  <si>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</si>
  <si>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</si>
  <si>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</si>
  <si>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</si>
  <si>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</si>
  <si>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</si>
  <si>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</si>
  <si>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</si>
  <si>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</si>
  <si>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</si>
  <si>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</si>
  <si>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</si>
  <si>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</si>
  <si>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</si>
  <si>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</si>
  <si>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</si>
  <si>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</si>
  <si>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</si>
  <si>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</si>
  <si>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</si>
  <si>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</si>
  <si>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</si>
  <si>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</si>
  <si>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</si>
  <si>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</si>
  <si>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</si>
  <si>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</si>
  <si>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</si>
  <si>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</si>
  <si>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</si>
  <si>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</si>
  <si>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</si>
  <si>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</si>
  <si>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</si>
  <si>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</si>
  <si>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</si>
  <si>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</si>
  <si>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</si>
  <si>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</si>
  <si>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</si>
  <si>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</si>
  <si>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</si>
  <si>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</si>
  <si>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</si>
  <si>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</si>
  <si>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</si>
  <si>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</si>
  <si>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</si>
  <si>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</si>
  <si>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</si>
  <si>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</si>
  <si>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</si>
  <si>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</si>
  <si>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</si>
  <si>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</si>
  <si>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</si>
  <si>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</si>
  <si>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</si>
  <si>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</si>
  <si>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</si>
  <si>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</si>
  <si>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</si>
  <si>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</si>
  <si>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</si>
  <si>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</si>
  <si>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</si>
  <si>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</si>
  <si>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</si>
  <si>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</si>
  <si>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</si>
  <si>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</si>
  <si>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</si>
  <si>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</si>
  <si>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</si>
  <si>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</si>
  <si>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</si>
  <si>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</si>
  <si>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</si>
  <si>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</si>
  <si>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</si>
  <si>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</si>
  <si>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</si>
  <si>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</si>
  <si>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</si>
  <si>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</si>
  <si>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</si>
  <si>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</si>
  <si>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</si>
  <si>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</si>
  <si>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</si>
  <si>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</si>
  <si>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</si>
  <si>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</si>
  <si>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</si>
  <si>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</si>
  <si>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</si>
  <si>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</si>
  <si>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</si>
  <si>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</si>
  <si>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</si>
  <si>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</si>
  <si>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</si>
  <si>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</si>
  <si>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</si>
  <si>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</si>
  <si>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</si>
  <si>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</si>
  <si>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</si>
  <si>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</si>
  <si>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</si>
  <si>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</si>
  <si>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</si>
  <si>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</si>
  <si>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</si>
  <si>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</si>
  <si>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</si>
  <si>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</si>
  <si>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</si>
  <si>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</si>
  <si>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</si>
  <si>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</si>
  <si>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</si>
  <si>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</si>
  <si>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</si>
  <si>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</si>
  <si>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</si>
  <si>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</si>
  <si>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PHPTOC</t>
  </si>
  <si>
    <t>HVPTOC1.Str</t>
  </si>
  <si>
    <t>HVPTOC1.Op</t>
  </si>
  <si>
    <t>HVPTOC1.Beh</t>
  </si>
  <si>
    <t>HVPTOC1.Health</t>
  </si>
  <si>
    <t>HVPTOC1_EnaDis</t>
  </si>
  <si>
    <t>HVPTOC1_Iop</t>
  </si>
  <si>
    <t>HVPTOC1_Top</t>
  </si>
  <si>
    <t>0.1</t>
  </si>
  <si>
    <t>HVPTOC1.StrVal</t>
  </si>
  <si>
    <t>HVPTOC1.OpDlTmms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</si>
  <si>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</si>
  <si>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</si>
  <si>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</si>
  <si>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</si>
  <si>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</si>
  <si>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</si>
  <si>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</si>
  <si>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</si>
  <si>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</si>
  <si>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</si>
  <si>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</si>
  <si>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TOVCTOC_operOutFunction</t>
  </si>
  <si>
    <t>TOVCTOC_SignBlockSet</t>
  </si>
  <si>
    <t>SG</t>
  </si>
  <si>
    <t>FbVersion</t>
  </si>
  <si>
    <t>HVPTOC1_OpOnTrip</t>
  </si>
  <si>
    <t>Срабатывание на отключение</t>
  </si>
  <si>
    <t>Сраб. на откл</t>
  </si>
  <si>
    <t>control</t>
  </si>
  <si>
    <t>Logger</t>
  </si>
  <si>
    <t>Disturber</t>
  </si>
  <si>
    <t>StartDisturber</t>
  </si>
  <si>
    <t>status</t>
  </si>
  <si>
    <t>DescriptionFB</t>
  </si>
  <si>
    <t>Защита от перегрузки</t>
  </si>
  <si>
    <t>DescriptionFuncList</t>
  </si>
  <si>
    <t>T2_TOVCTOC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</si>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</sst>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Q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8.710937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5" t="s">
        <v>183</v>
      </c>
      <c r="AW2" s="55" t="s">
        <v>184</v>
      </c>
      <c r="AX2" s="55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24"/>
      <c r="B3" s="24" t="s">
        <v>50</v>
      </c>
      <c r="C3" s="25"/>
      <c r="D3" s="26"/>
      <c r="E3" s="27" t="s">
        <v>164</v>
      </c>
      <c r="F3" s="40" t="s">
        <v>167</v>
      </c>
      <c r="G3" s="40" t="s">
        <v>167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170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1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</row>
    <row r="4" spans="1:16379" s="49" customFormat="1" ht="15.75" x14ac:dyDescent="0.25">
      <c r="A4" s="24"/>
      <c r="B4" s="24" t="s">
        <v>50</v>
      </c>
      <c r="C4" s="25"/>
      <c r="D4" s="26"/>
      <c r="E4" s="27" t="s">
        <v>165</v>
      </c>
      <c r="F4" s="40" t="s">
        <v>168</v>
      </c>
      <c r="G4" s="40" t="s">
        <v>168</v>
      </c>
      <c r="H4" s="27"/>
      <c r="I4" s="27">
        <f t="shared" si="0"/>
        <v>10</v>
      </c>
      <c r="J4" s="27" t="str">
        <f t="shared" si="1"/>
        <v>Ib (1гарм)</v>
      </c>
      <c r="K4" s="24" t="s">
        <v>171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</row>
    <row r="5" spans="1:16379" s="49" customFormat="1" ht="15.75" x14ac:dyDescent="0.25">
      <c r="A5" s="24"/>
      <c r="B5" s="24" t="s">
        <v>50</v>
      </c>
      <c r="C5" s="25"/>
      <c r="D5" s="26"/>
      <c r="E5" s="27" t="s">
        <v>166</v>
      </c>
      <c r="F5" s="40" t="s">
        <v>169</v>
      </c>
      <c r="G5" s="40" t="s">
        <v>169</v>
      </c>
      <c r="H5" s="27"/>
      <c r="I5" s="27">
        <f t="shared" si="0"/>
        <v>10</v>
      </c>
      <c r="J5" s="27" t="str">
        <f t="shared" si="1"/>
        <v>Ic (1гарм)</v>
      </c>
      <c r="K5" s="24" t="s">
        <v>172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</row>
    <row r="6" spans="1:16379" s="49" customFormat="1" ht="15.75" x14ac:dyDescent="0.25">
      <c r="A6" s="24"/>
      <c r="B6" s="54" t="s">
        <v>182</v>
      </c>
      <c r="C6" s="25"/>
      <c r="D6" s="26"/>
      <c r="E6" s="27" t="s">
        <v>107</v>
      </c>
      <c r="F6" s="40" t="s">
        <v>107</v>
      </c>
      <c r="G6" s="40" t="s">
        <v>107</v>
      </c>
      <c r="H6" s="27"/>
      <c r="I6" s="27">
        <f t="shared" ref="I6:I11" si="5">LEN(F6)</f>
        <v>15</v>
      </c>
      <c r="J6" s="27" t="str">
        <f t="shared" ref="J6:J7" si="6">IF(LEN(F6)&lt;=$J$1,F6,"")</f>
        <v>Вывод терминала</v>
      </c>
      <c r="K6" s="24" t="s">
        <v>108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1"/>
      <c r="AK6" s="31"/>
      <c r="AL6" s="31"/>
      <c r="AM6" s="31"/>
      <c r="AN6" s="31"/>
      <c r="AO6" s="31"/>
      <c r="AP6" s="31"/>
      <c r="AQ6" s="31"/>
      <c r="AR6" s="39">
        <v>0</v>
      </c>
      <c r="AS6" s="39">
        <v>0</v>
      </c>
      <c r="AT6" s="39">
        <v>0</v>
      </c>
      <c r="AU6" s="39">
        <v>0</v>
      </c>
      <c r="AV6" s="39">
        <f t="shared" ref="AV6:AV11" si="7">BIN2DEC(CONCATENATE(0,0,0,0,AR6,AS6,AT6,AU6))</f>
        <v>0</v>
      </c>
      <c r="AW6" s="39">
        <v>0</v>
      </c>
      <c r="AX6" s="39">
        <f t="shared" si="3"/>
        <v>0</v>
      </c>
      <c r="AY6" s="39"/>
      <c r="AZ6" s="29"/>
      <c r="BA6" s="39"/>
      <c r="BB6" s="39"/>
      <c r="BC6" s="32"/>
      <c r="BD6" s="39"/>
      <c r="BE6" s="33"/>
      <c r="BF6" s="39"/>
      <c r="BG6" s="34" t="str">
        <f t="shared" ref="BG6:BG11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5"/>
    </row>
    <row r="7" spans="1:16379" s="49" customFormat="1" ht="15.75" x14ac:dyDescent="0.25">
      <c r="A7" s="24"/>
      <c r="B7" s="54" t="s">
        <v>182</v>
      </c>
      <c r="C7" s="25"/>
      <c r="D7" s="50" t="s">
        <v>145</v>
      </c>
      <c r="E7" s="27" t="s">
        <v>141</v>
      </c>
      <c r="F7" s="40" t="s">
        <v>142</v>
      </c>
      <c r="G7" s="40" t="s">
        <v>142</v>
      </c>
      <c r="H7" s="27"/>
      <c r="I7" s="27">
        <f t="shared" si="5"/>
        <v>5</v>
      </c>
      <c r="J7" s="27" t="str">
        <f t="shared" si="6"/>
        <v>ОВ ЗП</v>
      </c>
      <c r="K7" s="24" t="s">
        <v>175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1"/>
      <c r="AK7" s="31"/>
      <c r="AL7" s="31"/>
      <c r="AM7" s="31"/>
      <c r="AN7" s="31"/>
      <c r="AO7" s="31"/>
      <c r="AP7" s="31"/>
      <c r="AQ7" s="31"/>
      <c r="AR7" s="39">
        <v>0</v>
      </c>
      <c r="AS7" s="39">
        <v>0</v>
      </c>
      <c r="AT7" s="39">
        <v>0</v>
      </c>
      <c r="AU7" s="39">
        <v>0</v>
      </c>
      <c r="AV7" s="39">
        <f t="shared" si="7"/>
        <v>0</v>
      </c>
      <c r="AW7" s="39">
        <v>0</v>
      </c>
      <c r="AX7" s="39">
        <f t="shared" si="3"/>
        <v>0</v>
      </c>
      <c r="AY7" s="39"/>
      <c r="AZ7" s="29"/>
      <c r="BA7" s="39"/>
      <c r="BB7" s="39"/>
      <c r="BC7" s="32"/>
      <c r="BD7" s="39"/>
      <c r="BE7" s="33"/>
      <c r="BF7" s="39"/>
      <c r="BG7" s="34" t="str">
        <f t="shared" si="8"/>
        <v>description: "ОВ ЗП", note: "Оперативный вывод функции ЗП", group: "control", minValue: null, maxValue: null, step: null, units: "null", defaultValue: null, eventRegistration: 0</v>
      </c>
      <c r="BH7" s="35"/>
    </row>
    <row r="8" spans="1:16379" s="49" customFormat="1" ht="15.75" x14ac:dyDescent="0.25">
      <c r="A8" s="24"/>
      <c r="B8" s="54" t="s">
        <v>182</v>
      </c>
      <c r="C8" s="25"/>
      <c r="D8" s="50" t="s">
        <v>145</v>
      </c>
      <c r="E8" s="27" t="s">
        <v>143</v>
      </c>
      <c r="F8" s="40" t="s">
        <v>144</v>
      </c>
      <c r="G8" s="40" t="s">
        <v>144</v>
      </c>
      <c r="H8" s="27"/>
      <c r="I8" s="27">
        <f t="shared" si="5"/>
        <v>10</v>
      </c>
      <c r="J8" s="27" t="str">
        <f t="shared" ref="J8:J11" si="9">IF(LEN(F8)&lt;=$J$1,F8,"")</f>
        <v>ЗП на откл</v>
      </c>
      <c r="K8" s="24" t="s">
        <v>176</v>
      </c>
      <c r="L8" s="28" t="s">
        <v>54</v>
      </c>
      <c r="M8" s="25" t="s">
        <v>51</v>
      </c>
      <c r="N8" s="25" t="s">
        <v>52</v>
      </c>
      <c r="O8" s="25"/>
      <c r="P8" s="29"/>
      <c r="Q8" s="29"/>
      <c r="R8" s="25" t="s">
        <v>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1"/>
      <c r="AK8" s="31"/>
      <c r="AL8" s="31"/>
      <c r="AM8" s="31"/>
      <c r="AN8" s="31"/>
      <c r="AO8" s="31"/>
      <c r="AP8" s="31"/>
      <c r="AQ8" s="31"/>
      <c r="AR8" s="39">
        <v>0</v>
      </c>
      <c r="AS8" s="39">
        <v>0</v>
      </c>
      <c r="AT8" s="39">
        <v>0</v>
      </c>
      <c r="AU8" s="39">
        <v>0</v>
      </c>
      <c r="AV8" s="39">
        <f t="shared" ref="AV8" si="10">BIN2DEC(CONCATENATE(0,0,0,0,AR8,AS8,AT8,AU8))</f>
        <v>0</v>
      </c>
      <c r="AW8" s="39">
        <v>0</v>
      </c>
      <c r="AX8" s="39">
        <f t="shared" si="3"/>
        <v>0</v>
      </c>
      <c r="AY8" s="39"/>
      <c r="AZ8" s="29"/>
      <c r="BA8" s="39"/>
      <c r="BB8" s="39"/>
      <c r="BC8" s="32"/>
      <c r="BD8" s="39"/>
      <c r="BE8" s="33"/>
      <c r="BF8" s="39"/>
      <c r="BG8" s="34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35"/>
    </row>
    <row r="9" spans="1:16379" s="16" customFormat="1" ht="15.75" x14ac:dyDescent="0.25">
      <c r="A9" s="41"/>
      <c r="B9" s="24" t="s">
        <v>50</v>
      </c>
      <c r="C9" s="42"/>
      <c r="D9" s="38"/>
      <c r="E9" s="40" t="s">
        <v>55</v>
      </c>
      <c r="F9" s="40" t="s">
        <v>56</v>
      </c>
      <c r="G9" s="40" t="s">
        <v>56</v>
      </c>
      <c r="H9" s="38"/>
      <c r="I9" s="27">
        <f t="shared" si="5"/>
        <v>10</v>
      </c>
      <c r="J9" s="27" t="str">
        <f t="shared" si="9"/>
        <v>Насл.режим</v>
      </c>
      <c r="K9" s="43" t="s">
        <v>58</v>
      </c>
      <c r="L9" s="44" t="s">
        <v>57</v>
      </c>
      <c r="M9" s="25" t="s">
        <v>51</v>
      </c>
      <c r="N9" s="25" t="s">
        <v>52</v>
      </c>
      <c r="O9" s="25"/>
      <c r="P9" s="42"/>
      <c r="Q9" s="42"/>
      <c r="R9" s="25" t="s">
        <v>53</v>
      </c>
      <c r="S9" s="25" t="s">
        <v>53</v>
      </c>
      <c r="T9" s="25" t="s">
        <v>53</v>
      </c>
      <c r="U9" s="25" t="s">
        <v>53</v>
      </c>
      <c r="V9" s="42"/>
      <c r="W9" s="42"/>
      <c r="X9" s="2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112</v>
      </c>
      <c r="AK9" s="36" t="s">
        <v>59</v>
      </c>
      <c r="AL9" s="36" t="s">
        <v>60</v>
      </c>
      <c r="AM9" s="36" t="s">
        <v>61</v>
      </c>
      <c r="AN9" s="36"/>
      <c r="AO9" s="36" t="s">
        <v>62</v>
      </c>
      <c r="AP9" s="36" t="str">
        <f>CONCATENATE(AJ9, ".", AL9)</f>
        <v>LLN0.GrRef.setSrcRef</v>
      </c>
      <c r="AQ9" s="36" t="s">
        <v>63</v>
      </c>
      <c r="AR9" s="39">
        <v>0</v>
      </c>
      <c r="AS9" s="39">
        <v>0</v>
      </c>
      <c r="AT9" s="39">
        <v>0</v>
      </c>
      <c r="AU9" s="39">
        <v>0</v>
      </c>
      <c r="AV9" s="39">
        <f t="shared" si="7"/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4" t="str">
        <f t="shared" si="8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1"/>
      <c r="B10" s="24" t="s">
        <v>50</v>
      </c>
      <c r="C10" s="42"/>
      <c r="D10" s="38"/>
      <c r="E10" s="40" t="s">
        <v>68</v>
      </c>
      <c r="F10" s="40" t="s">
        <v>69</v>
      </c>
      <c r="G10" s="40" t="s">
        <v>69</v>
      </c>
      <c r="H10" s="38"/>
      <c r="I10" s="27">
        <f t="shared" si="5"/>
        <v>8</v>
      </c>
      <c r="J10" s="27" t="str">
        <f t="shared" si="9"/>
        <v>Ош.крит.</v>
      </c>
      <c r="K10" s="43" t="s">
        <v>70</v>
      </c>
      <c r="L10" s="28" t="s">
        <v>54</v>
      </c>
      <c r="M10" s="25" t="s">
        <v>51</v>
      </c>
      <c r="N10" s="25" t="s">
        <v>52</v>
      </c>
      <c r="O10" s="25"/>
      <c r="P10" s="42"/>
      <c r="Q10" s="42"/>
      <c r="R10" s="25" t="s">
        <v>53</v>
      </c>
      <c r="S10" s="25" t="s">
        <v>53</v>
      </c>
      <c r="T10" s="25" t="s">
        <v>53</v>
      </c>
      <c r="U10" s="25" t="s">
        <v>53</v>
      </c>
      <c r="V10" s="42"/>
      <c r="W10" s="42"/>
      <c r="X10" s="2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6"/>
      <c r="AK10" s="36"/>
      <c r="AL10" s="36"/>
      <c r="AM10" s="36"/>
      <c r="AN10" s="36"/>
      <c r="AO10" s="36"/>
      <c r="AP10" s="36"/>
      <c r="AQ10" s="36"/>
      <c r="AR10" s="39">
        <v>0</v>
      </c>
      <c r="AS10" s="39">
        <v>0</v>
      </c>
      <c r="AT10" s="39">
        <v>0</v>
      </c>
      <c r="AU10" s="39">
        <v>0</v>
      </c>
      <c r="AV10" s="39">
        <f t="shared" si="7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4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1"/>
      <c r="B11" s="24" t="s">
        <v>50</v>
      </c>
      <c r="C11" s="42"/>
      <c r="D11" s="38"/>
      <c r="E11" s="40" t="s">
        <v>71</v>
      </c>
      <c r="F11" s="40" t="s">
        <v>72</v>
      </c>
      <c r="G11" s="40" t="s">
        <v>72</v>
      </c>
      <c r="H11" s="38"/>
      <c r="I11" s="27">
        <f t="shared" si="5"/>
        <v>6</v>
      </c>
      <c r="J11" s="27" t="str">
        <f t="shared" si="9"/>
        <v>Ошибка</v>
      </c>
      <c r="K11" s="43" t="s">
        <v>73</v>
      </c>
      <c r="L11" s="28" t="s">
        <v>54</v>
      </c>
      <c r="M11" s="25" t="s">
        <v>51</v>
      </c>
      <c r="N11" s="25" t="s">
        <v>52</v>
      </c>
      <c r="O11" s="25"/>
      <c r="P11" s="42"/>
      <c r="Q11" s="42"/>
      <c r="R11" s="25" t="s">
        <v>53</v>
      </c>
      <c r="S11" s="25" t="s">
        <v>53</v>
      </c>
      <c r="T11" s="25" t="s">
        <v>53</v>
      </c>
      <c r="U11" s="25" t="s">
        <v>53</v>
      </c>
      <c r="V11" s="42"/>
      <c r="W11" s="42"/>
      <c r="X11" s="2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6"/>
      <c r="AK11" s="36"/>
      <c r="AL11" s="36"/>
      <c r="AM11" s="36"/>
      <c r="AN11" s="36"/>
      <c r="AO11" s="36"/>
      <c r="AP11" s="36"/>
      <c r="AQ11" s="36"/>
      <c r="AR11" s="39">
        <v>0</v>
      </c>
      <c r="AS11" s="39">
        <v>0</v>
      </c>
      <c r="AT11" s="39">
        <v>0</v>
      </c>
      <c r="AU11" s="39">
        <v>0</v>
      </c>
      <c r="AV11" s="39">
        <f t="shared" si="7"/>
        <v>0</v>
      </c>
      <c r="AW11" s="39">
        <v>0</v>
      </c>
      <c r="AX11" s="39">
        <f t="shared" si="3"/>
        <v>0</v>
      </c>
      <c r="AY11" s="47"/>
      <c r="AZ11" s="42"/>
      <c r="BA11" s="42"/>
      <c r="BB11" s="42"/>
      <c r="BC11" s="42"/>
      <c r="BD11" s="42"/>
      <c r="BE11" s="42"/>
      <c r="BF11" s="42"/>
      <c r="BG11" s="34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3" sqref="E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20.28515625" style="37" bestFit="1" customWidth="1" outlineLevel="1"/>
    <col min="7" max="7" width="22.140625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8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5" t="s">
        <v>183</v>
      </c>
      <c r="AW2" s="55" t="s">
        <v>184</v>
      </c>
      <c r="AX2" s="55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56" t="s">
        <v>186</v>
      </c>
      <c r="C3" s="42"/>
      <c r="D3" s="50" t="s">
        <v>145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146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56" t="s">
        <v>186</v>
      </c>
      <c r="C4" s="42"/>
      <c r="D4" s="50" t="s">
        <v>145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147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56" t="s">
        <v>186</v>
      </c>
      <c r="C5" s="42"/>
      <c r="D5" s="50" t="s">
        <v>145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148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56" t="s">
        <v>186</v>
      </c>
      <c r="C6" s="42"/>
      <c r="D6" s="50" t="s">
        <v>145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149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153</v>
      </c>
      <c r="AJ6" s="36" t="s">
        <v>154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HVPTOC1.Str.general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56" t="s">
        <v>186</v>
      </c>
      <c r="C7" s="42"/>
      <c r="D7" s="50" t="s">
        <v>145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152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153</v>
      </c>
      <c r="AJ7" s="36" t="s">
        <v>155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HVPTOC1.Op.general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56" t="s">
        <v>186</v>
      </c>
      <c r="C8" s="42"/>
      <c r="D8" s="50" t="s">
        <v>145</v>
      </c>
      <c r="E8" s="40" t="s">
        <v>180</v>
      </c>
      <c r="F8" s="18" t="s">
        <v>181</v>
      </c>
      <c r="G8" s="18" t="s">
        <v>181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179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1"/>
      <c r="AJ8" s="41"/>
      <c r="AK8" s="41"/>
      <c r="AL8" s="41"/>
      <c r="AM8" s="41"/>
      <c r="AN8" s="41"/>
      <c r="AO8" s="41"/>
      <c r="AP8" s="41"/>
      <c r="AQ8" s="41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16" customFormat="1" ht="15.75" x14ac:dyDescent="0.25">
      <c r="A9" s="41"/>
      <c r="B9" s="56" t="s">
        <v>186</v>
      </c>
      <c r="C9" s="42"/>
      <c r="D9" s="51"/>
      <c r="E9" s="40" t="s">
        <v>79</v>
      </c>
      <c r="F9" s="40" t="s">
        <v>80</v>
      </c>
      <c r="G9" s="40" t="s">
        <v>80</v>
      </c>
      <c r="H9" s="42"/>
      <c r="I9" s="40">
        <f t="shared" ref="I9:I12" si="3">LEN(F9)</f>
        <v>12</v>
      </c>
      <c r="J9" s="40" t="str">
        <f t="shared" ref="J9:J12" si="4">IF(LEN(F9)&lt;=$J$1,F9,"")</f>
        <v>Поведение LD</v>
      </c>
      <c r="K9" s="43" t="s">
        <v>81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113</v>
      </c>
      <c r="AK9" s="36" t="s">
        <v>82</v>
      </c>
      <c r="AL9" s="36" t="s">
        <v>64</v>
      </c>
      <c r="AM9" s="36" t="s">
        <v>65</v>
      </c>
      <c r="AN9" s="36" t="s">
        <v>66</v>
      </c>
      <c r="AO9" s="36" t="s">
        <v>67</v>
      </c>
      <c r="AP9" s="36" t="str">
        <f t="shared" ref="AP9:AP12" si="5">CONCATENATE(AJ9, ".", AL9)</f>
        <v>LLN0.Beh.stVal</v>
      </c>
      <c r="AQ9" s="36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ref="AV9:AV12" si="6">BIN2DEC(CONCATENATE(0,0,0,0,AR9,AS9,AT9,AU9))</f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ref="BG9:BG12" si="7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1"/>
      <c r="B10" s="56" t="s">
        <v>186</v>
      </c>
      <c r="C10" s="42"/>
      <c r="D10" s="41"/>
      <c r="E10" s="40" t="s">
        <v>83</v>
      </c>
      <c r="F10" s="40" t="s">
        <v>84</v>
      </c>
      <c r="G10" s="40" t="s">
        <v>84</v>
      </c>
      <c r="H10" s="42"/>
      <c r="I10" s="40">
        <f t="shared" si="3"/>
        <v>14</v>
      </c>
      <c r="J10" s="40" t="str">
        <f t="shared" si="4"/>
        <v>Исправность LD</v>
      </c>
      <c r="K10" s="43" t="s">
        <v>85</v>
      </c>
      <c r="L10" s="44" t="s">
        <v>57</v>
      </c>
      <c r="M10" s="45" t="s">
        <v>51</v>
      </c>
      <c r="N10" s="45" t="s">
        <v>52</v>
      </c>
      <c r="O10" s="45"/>
      <c r="P10" s="29"/>
      <c r="Q10" s="29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96</v>
      </c>
      <c r="AJ10" s="36" t="s">
        <v>114</v>
      </c>
      <c r="AK10" s="36" t="s">
        <v>82</v>
      </c>
      <c r="AL10" s="36" t="s">
        <v>64</v>
      </c>
      <c r="AM10" s="36" t="s">
        <v>65</v>
      </c>
      <c r="AN10" s="36" t="s">
        <v>86</v>
      </c>
      <c r="AO10" s="36" t="s">
        <v>67</v>
      </c>
      <c r="AP10" s="36" t="str">
        <f t="shared" si="5"/>
        <v>LLN0.Health.stVal</v>
      </c>
      <c r="AQ10" s="36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6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1"/>
      <c r="B11" s="56" t="s">
        <v>186</v>
      </c>
      <c r="C11" s="42"/>
      <c r="D11" s="50" t="s">
        <v>145</v>
      </c>
      <c r="E11" s="40" t="s">
        <v>173</v>
      </c>
      <c r="F11" s="40" t="s">
        <v>87</v>
      </c>
      <c r="G11" s="40" t="s">
        <v>87</v>
      </c>
      <c r="H11" s="42"/>
      <c r="I11" s="40">
        <f t="shared" si="3"/>
        <v>9</v>
      </c>
      <c r="J11" s="40" t="str">
        <f t="shared" si="4"/>
        <v>Поведение</v>
      </c>
      <c r="K11" s="43" t="s">
        <v>150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153</v>
      </c>
      <c r="AJ11" s="36" t="s">
        <v>156</v>
      </c>
      <c r="AK11" s="36" t="s">
        <v>82</v>
      </c>
      <c r="AL11" s="36" t="s">
        <v>64</v>
      </c>
      <c r="AM11" s="36" t="s">
        <v>65</v>
      </c>
      <c r="AN11" s="36" t="s">
        <v>66</v>
      </c>
      <c r="AO11" s="36" t="s">
        <v>67</v>
      </c>
      <c r="AP11" s="36" t="str">
        <f t="shared" si="5"/>
        <v>HVPTOC1.Beh.stVal</v>
      </c>
      <c r="AQ11" s="36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7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16" customFormat="1" ht="15.75" x14ac:dyDescent="0.25">
      <c r="A12" s="41"/>
      <c r="B12" s="56" t="s">
        <v>186</v>
      </c>
      <c r="C12" s="42"/>
      <c r="D12" s="50" t="s">
        <v>145</v>
      </c>
      <c r="E12" s="40" t="s">
        <v>174</v>
      </c>
      <c r="F12" s="40" t="s">
        <v>88</v>
      </c>
      <c r="G12" s="40" t="s">
        <v>88</v>
      </c>
      <c r="H12" s="42"/>
      <c r="I12" s="40">
        <f t="shared" si="3"/>
        <v>11</v>
      </c>
      <c r="J12" s="40" t="str">
        <f t="shared" si="4"/>
        <v>Исправность</v>
      </c>
      <c r="K12" s="43" t="s">
        <v>151</v>
      </c>
      <c r="L12" s="44" t="s">
        <v>57</v>
      </c>
      <c r="M12" s="45" t="s">
        <v>51</v>
      </c>
      <c r="N12" s="45" t="s">
        <v>52</v>
      </c>
      <c r="O12" s="45"/>
      <c r="P12" s="29"/>
      <c r="Q12" s="29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153</v>
      </c>
      <c r="AJ12" s="36" t="s">
        <v>157</v>
      </c>
      <c r="AK12" s="36" t="s">
        <v>82</v>
      </c>
      <c r="AL12" s="36" t="s">
        <v>64</v>
      </c>
      <c r="AM12" s="36" t="s">
        <v>65</v>
      </c>
      <c r="AN12" s="36" t="s">
        <v>86</v>
      </c>
      <c r="AO12" s="36" t="s">
        <v>67</v>
      </c>
      <c r="AP12" s="36" t="str">
        <f t="shared" si="5"/>
        <v>HVPTOC1.Health.stVal</v>
      </c>
      <c r="AQ12" s="36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7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9"/>
  <sheetViews>
    <sheetView tabSelected="1" zoomScale="80" zoomScaleNormal="80" workbookViewId="0">
      <selection activeCell="H3" sqref="H3: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19.5703125" style="37" customWidth="1" outlineLevel="1"/>
    <col min="9" max="9" width="40.28515625" style="37" bestFit="1" customWidth="1" outlineLevel="1"/>
    <col min="10" max="10" width="7.28515625" style="37" bestFit="1" customWidth="1"/>
    <col min="11" max="11" width="33.5703125" style="37" bestFit="1" customWidth="1"/>
    <col min="12" max="12" width="17.7109375" style="37" bestFit="1" customWidth="1"/>
    <col min="13" max="13" width="9.42578125" style="37" customWidth="1"/>
    <col min="14" max="15" width="19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7" customWidth="1"/>
    <col min="38" max="38" width="26.4257812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28" style="37" bestFit="1" customWidth="1"/>
    <col min="44" max="44" width="19.140625" style="37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7" hidden="1" customWidth="1" outlineLevel="1"/>
    <col min="56" max="56" width="13.28515625" style="3" hidden="1" customWidth="1" outlineLevel="1"/>
    <col min="57" max="57" width="13" style="17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55.85546875" style="1" bestFit="1" customWidth="1" collapsed="1"/>
    <col min="61" max="16384" width="9.140625" style="1"/>
  </cols>
  <sheetData>
    <row r="1" spans="1:16380" ht="15.75" x14ac:dyDescent="0.25">
      <c r="E1" s="1"/>
      <c r="K1" s="37">
        <v>19</v>
      </c>
      <c r="AB1" s="4"/>
      <c r="AC1" s="4"/>
      <c r="AD1" s="4"/>
      <c r="AE1" s="4"/>
      <c r="AF1" s="4"/>
      <c r="AG1" s="5"/>
      <c r="AH1" s="5"/>
      <c r="AI1" s="4">
        <f>SUM(AB4:AB36)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38"/>
      <c r="BA1" s="58" t="s">
        <v>0</v>
      </c>
      <c r="BB1" s="59"/>
      <c r="BC1" s="59"/>
      <c r="BD1" s="59"/>
      <c r="BE1" s="59"/>
      <c r="BF1" s="59"/>
      <c r="BG1" s="59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60" t="s">
        <v>191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3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9" customFormat="1" ht="15.75" x14ac:dyDescent="0.25">
      <c r="A3" s="41"/>
      <c r="B3" s="41" t="s">
        <v>89</v>
      </c>
      <c r="C3" s="45"/>
      <c r="D3" s="50" t="s">
        <v>145</v>
      </c>
      <c r="E3" s="40" t="s">
        <v>115</v>
      </c>
      <c r="F3" s="40" t="s">
        <v>111</v>
      </c>
      <c r="G3" s="40" t="s">
        <v>116</v>
      </c>
      <c r="H3" s="61" t="s">
        <v>116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158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9" customFormat="1" ht="15.75" x14ac:dyDescent="0.25">
      <c r="A4" s="41"/>
      <c r="B4" s="41" t="s">
        <v>89</v>
      </c>
      <c r="C4" s="45"/>
      <c r="D4" s="50" t="s">
        <v>145</v>
      </c>
      <c r="E4" s="40" t="s">
        <v>121</v>
      </c>
      <c r="F4" s="40" t="s">
        <v>122</v>
      </c>
      <c r="G4" s="40" t="s">
        <v>132</v>
      </c>
      <c r="H4" s="62" t="s">
        <v>192</v>
      </c>
      <c r="I4" s="40"/>
      <c r="J4" s="40">
        <f t="shared" ref="J4:J5" si="0">LEN(F4)</f>
        <v>3</v>
      </c>
      <c r="K4" s="40" t="str">
        <f t="shared" ref="K4:K5" si="1">IF(LEN(F4)&lt;=$K$1,F4,"")</f>
        <v>Iср</v>
      </c>
      <c r="L4" s="41" t="s">
        <v>159</v>
      </c>
      <c r="M4" s="44" t="s">
        <v>117</v>
      </c>
      <c r="N4" s="45" t="s">
        <v>52</v>
      </c>
      <c r="O4" s="45" t="s">
        <v>52</v>
      </c>
      <c r="P4" s="45"/>
      <c r="Q4" s="47">
        <v>2</v>
      </c>
      <c r="R4" s="47" t="s">
        <v>123</v>
      </c>
      <c r="S4" s="45" t="s">
        <v>124</v>
      </c>
      <c r="T4" s="45" t="s">
        <v>161</v>
      </c>
      <c r="U4" s="45">
        <v>5</v>
      </c>
      <c r="V4" s="45" t="s">
        <v>125</v>
      </c>
      <c r="W4" s="45"/>
      <c r="X4" s="45"/>
      <c r="Y4" s="45">
        <v>1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 t="s">
        <v>153</v>
      </c>
      <c r="AK4" s="42" t="s">
        <v>162</v>
      </c>
      <c r="AL4" s="42" t="s">
        <v>126</v>
      </c>
      <c r="AM4" s="42" t="s">
        <v>127</v>
      </c>
      <c r="AN4" s="42" t="s">
        <v>117</v>
      </c>
      <c r="AO4" s="42"/>
      <c r="AP4" s="42" t="s">
        <v>177</v>
      </c>
      <c r="AQ4" s="38" t="str">
        <f t="shared" ref="AQ4" si="2" xml:space="preserve"> CONCATENATE(AK4, ".",AM4)</f>
        <v>HVPTOC1.StrVal.setMag.f</v>
      </c>
      <c r="AR4" s="36" t="s">
        <v>63</v>
      </c>
      <c r="AS4" s="42">
        <v>0</v>
      </c>
      <c r="AT4" s="42">
        <v>0</v>
      </c>
      <c r="AU4" s="42">
        <v>0</v>
      </c>
      <c r="AV4" s="42">
        <v>0</v>
      </c>
      <c r="AW4" s="42">
        <f t="shared" ref="AW4" si="3"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5, step: 0.01, units: "о.е.", defaultValue: 1, eventRegistration: 0</v>
      </c>
    </row>
    <row r="5" spans="1:16380" s="37" customFormat="1" ht="15.75" customHeight="1" x14ac:dyDescent="0.25">
      <c r="A5" s="41"/>
      <c r="B5" s="41" t="s">
        <v>89</v>
      </c>
      <c r="C5" s="45"/>
      <c r="D5" s="50" t="s">
        <v>145</v>
      </c>
      <c r="E5" s="40" t="s">
        <v>133</v>
      </c>
      <c r="F5" s="40" t="s">
        <v>134</v>
      </c>
      <c r="G5" s="40" t="s">
        <v>135</v>
      </c>
      <c r="H5" s="62" t="s">
        <v>135</v>
      </c>
      <c r="I5" s="40"/>
      <c r="J5" s="40">
        <f t="shared" si="0"/>
        <v>3</v>
      </c>
      <c r="K5" s="40" t="str">
        <f t="shared" si="1"/>
        <v>Tср</v>
      </c>
      <c r="L5" s="41" t="s">
        <v>160</v>
      </c>
      <c r="M5" s="44" t="s">
        <v>136</v>
      </c>
      <c r="N5" s="45" t="s">
        <v>52</v>
      </c>
      <c r="O5" s="45" t="s">
        <v>52</v>
      </c>
      <c r="P5" s="45"/>
      <c r="Q5" s="47">
        <v>2</v>
      </c>
      <c r="R5" s="47" t="s">
        <v>137</v>
      </c>
      <c r="S5" s="45" t="s">
        <v>138</v>
      </c>
      <c r="T5" s="45">
        <v>0</v>
      </c>
      <c r="U5" s="45">
        <v>3600000</v>
      </c>
      <c r="V5" s="45">
        <v>100</v>
      </c>
      <c r="W5" s="45"/>
      <c r="X5" s="45"/>
      <c r="Y5" s="45">
        <v>9000</v>
      </c>
      <c r="Z5" s="45">
        <v>0</v>
      </c>
      <c r="AA5" s="43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48" t="s">
        <v>153</v>
      </c>
      <c r="AK5" s="42" t="s">
        <v>163</v>
      </c>
      <c r="AL5" s="42" t="s">
        <v>139</v>
      </c>
      <c r="AM5" s="42" t="s">
        <v>140</v>
      </c>
      <c r="AN5" s="42" t="s">
        <v>136</v>
      </c>
      <c r="AO5" s="42"/>
      <c r="AP5" s="42" t="s">
        <v>177</v>
      </c>
      <c r="AQ5" s="38" t="str">
        <f t="shared" ref="AQ5" si="5" xml:space="preserve"> CONCATENATE(AK5, ".",AM5)</f>
        <v>HVPTOC1.OpDlTmms.setVal</v>
      </c>
      <c r="AR5" s="42" t="s">
        <v>63</v>
      </c>
      <c r="AS5" s="42">
        <v>0</v>
      </c>
      <c r="AT5" s="42">
        <v>0</v>
      </c>
      <c r="AU5" s="42">
        <v>0</v>
      </c>
      <c r="AV5" s="42">
        <v>0</v>
      </c>
      <c r="AW5" s="42">
        <f>BIN2DEC(CONCATENATE(0,0,0,0,AS5,AT5,AU5,AV5))</f>
        <v>0</v>
      </c>
      <c r="AX5" s="42"/>
      <c r="AY5" s="42"/>
      <c r="AZ5" s="47"/>
      <c r="BA5" s="42"/>
      <c r="BB5" s="42"/>
      <c r="BC5" s="42"/>
      <c r="BD5" s="42"/>
      <c r="BE5" s="42"/>
      <c r="BF5" s="42"/>
      <c r="BG5" s="42"/>
      <c r="BH5" s="46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"Tср", note: "Выдержка времени срабатывания", group: "setting", minValue: 0, maxValue: 3600000, step: 100, units: "мс", defaultValue: 9000, eventRegistration: 0</v>
      </c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</row>
    <row r="6" spans="1:16380" s="37" customFormat="1" ht="15.75" x14ac:dyDescent="0.25">
      <c r="A6" s="1"/>
      <c r="B6" s="1"/>
      <c r="C6" s="1"/>
      <c r="D6" s="1"/>
      <c r="S6" s="2"/>
      <c r="T6" s="3"/>
      <c r="U6" s="3"/>
      <c r="V6" s="3"/>
      <c r="W6" s="3"/>
      <c r="X6" s="3"/>
      <c r="Y6" s="3"/>
      <c r="Z6" s="3"/>
      <c r="AA6" s="1"/>
      <c r="AB6" s="3"/>
      <c r="AC6" s="3"/>
      <c r="AD6" s="3"/>
      <c r="AE6" s="3"/>
      <c r="AF6" s="3"/>
      <c r="AG6" s="3"/>
      <c r="AH6" s="3"/>
      <c r="AI6" s="1"/>
      <c r="AJ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17"/>
      <c r="BD6" s="3"/>
      <c r="BE6" s="17"/>
      <c r="BF6" s="3"/>
      <c r="BG6" s="3"/>
      <c r="BH6" s="1"/>
      <c r="BI6" s="1"/>
    </row>
    <row r="7" spans="1:16380" s="37" customFormat="1" ht="15.75" x14ac:dyDescent="0.25">
      <c r="A7" s="1"/>
      <c r="B7" s="1"/>
      <c r="C7" s="1"/>
      <c r="D7" s="1"/>
      <c r="S7" s="2"/>
      <c r="T7" s="3"/>
      <c r="U7" s="3"/>
      <c r="V7" s="3"/>
      <c r="W7" s="3"/>
      <c r="X7" s="3"/>
      <c r="Y7" s="3"/>
      <c r="Z7" s="3"/>
      <c r="AA7" s="1"/>
      <c r="AB7" s="3"/>
      <c r="AC7" s="3"/>
      <c r="AD7" s="3"/>
      <c r="AE7" s="3"/>
      <c r="AF7" s="3"/>
      <c r="AG7" s="3"/>
      <c r="AH7" s="3"/>
      <c r="AI7" s="1"/>
      <c r="AJ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17"/>
      <c r="BD7" s="3"/>
      <c r="BE7" s="17"/>
      <c r="BF7" s="3"/>
      <c r="BG7" s="3"/>
      <c r="BH7" s="1"/>
      <c r="BI7" s="1"/>
    </row>
    <row r="8" spans="1:16380" s="37" customFormat="1" ht="15.75" x14ac:dyDescent="0.25">
      <c r="A8" s="1"/>
      <c r="B8" s="1"/>
      <c r="C8" s="1"/>
      <c r="D8" s="1"/>
      <c r="S8" s="2"/>
      <c r="T8" s="3"/>
      <c r="U8" s="3"/>
      <c r="V8" s="3"/>
      <c r="W8" s="3"/>
      <c r="X8" s="3"/>
      <c r="Y8" s="3"/>
      <c r="Z8" s="3"/>
      <c r="AA8" s="1"/>
      <c r="AB8" s="3"/>
      <c r="AC8" s="3"/>
      <c r="AD8" s="3"/>
      <c r="AE8" s="3"/>
      <c r="AF8" s="3"/>
      <c r="AG8" s="3"/>
      <c r="AH8" s="3"/>
      <c r="AI8" s="1"/>
      <c r="AJ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7"/>
      <c r="BD8" s="3"/>
      <c r="BE8" s="17"/>
      <c r="BF8" s="3"/>
      <c r="BG8" s="3"/>
      <c r="BH8" s="1"/>
      <c r="BI8" s="1"/>
    </row>
    <row r="9" spans="1:16380" s="37" customFormat="1" ht="15.75" x14ac:dyDescent="0.25">
      <c r="A9" s="1"/>
      <c r="B9" s="1"/>
      <c r="C9" s="1"/>
      <c r="D9" s="1"/>
      <c r="S9" s="2"/>
      <c r="T9" s="3"/>
      <c r="U9" s="3"/>
      <c r="V9" s="3"/>
      <c r="W9" s="3"/>
      <c r="X9" s="3"/>
      <c r="Y9" s="3"/>
      <c r="Z9" s="3"/>
      <c r="AA9" s="1"/>
      <c r="AB9" s="3"/>
      <c r="AC9" s="3"/>
      <c r="AD9" s="3"/>
      <c r="AE9" s="3"/>
      <c r="AF9" s="3"/>
      <c r="AG9" s="3"/>
      <c r="AH9" s="3"/>
      <c r="AI9" s="1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7"/>
      <c r="BD9" s="3"/>
      <c r="BE9" s="17"/>
      <c r="BF9" s="3"/>
      <c r="BG9" s="3"/>
      <c r="BH9" s="1"/>
      <c r="BI9" s="1"/>
    </row>
    <row r="10" spans="1:16380" s="37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7"/>
      <c r="BD10" s="3"/>
      <c r="BE10" s="17"/>
      <c r="BF10" s="3"/>
      <c r="BG10" s="3"/>
      <c r="BH10" s="1"/>
      <c r="BI10" s="1"/>
    </row>
    <row r="11" spans="1:16380" s="37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7"/>
      <c r="BD11" s="3"/>
      <c r="BE11" s="17"/>
      <c r="BF11" s="3"/>
      <c r="BG11" s="3"/>
      <c r="BH11" s="1"/>
      <c r="BI11" s="1"/>
    </row>
    <row r="12" spans="1:16380" s="37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7"/>
      <c r="BD12" s="3"/>
      <c r="BE12" s="17"/>
      <c r="BF12" s="3"/>
      <c r="BG12" s="3"/>
      <c r="BH12" s="1"/>
      <c r="BI12" s="1"/>
    </row>
    <row r="13" spans="1:16380" s="37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7"/>
      <c r="BD13" s="3"/>
      <c r="BE13" s="17"/>
      <c r="BF13" s="3"/>
      <c r="BG13" s="3"/>
      <c r="BH13" s="1"/>
      <c r="BI13" s="1"/>
    </row>
    <row r="14" spans="1:16380" s="37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7"/>
      <c r="BD14" s="3"/>
      <c r="BE14" s="17"/>
      <c r="BF14" s="3"/>
      <c r="BG14" s="3"/>
      <c r="BH14" s="1"/>
      <c r="BI14" s="1"/>
    </row>
    <row r="15" spans="1:16380" s="37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7"/>
      <c r="BD15" s="3"/>
      <c r="BE15" s="17"/>
      <c r="BF15" s="3"/>
      <c r="BG15" s="3"/>
      <c r="BH15" s="1"/>
      <c r="BI15" s="1"/>
    </row>
    <row r="16" spans="1:16380" s="37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7"/>
      <c r="BD16" s="3"/>
      <c r="BE16" s="17"/>
      <c r="BF16" s="3"/>
      <c r="BG16" s="3"/>
      <c r="BH16" s="1"/>
      <c r="BI16" s="1"/>
    </row>
    <row r="17" spans="1:61" s="37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7"/>
      <c r="BD17" s="3"/>
      <c r="BE17" s="17"/>
      <c r="BF17" s="3"/>
      <c r="BG17" s="3"/>
      <c r="BH17" s="1"/>
      <c r="BI17" s="1"/>
    </row>
    <row r="18" spans="1:61" s="37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7"/>
      <c r="BD18" s="3"/>
      <c r="BE18" s="17"/>
      <c r="BF18" s="3"/>
      <c r="BG18" s="3"/>
      <c r="BH18" s="1"/>
      <c r="BI18" s="1"/>
    </row>
    <row r="19" spans="1:61" s="37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7"/>
      <c r="BD19" s="3"/>
      <c r="BE19" s="17"/>
      <c r="BF19" s="3"/>
      <c r="BG19" s="3"/>
      <c r="BH19" s="1"/>
      <c r="BI19" s="1"/>
    </row>
    <row r="20" spans="1:61" s="37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7"/>
      <c r="BD20" s="3"/>
      <c r="BE20" s="17"/>
      <c r="BF20" s="3"/>
      <c r="BG20" s="3"/>
      <c r="BH20" s="1"/>
      <c r="BI20" s="1"/>
    </row>
    <row r="21" spans="1:61" s="37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7"/>
      <c r="BD21" s="3"/>
      <c r="BE21" s="17"/>
      <c r="BF21" s="3"/>
      <c r="BG21" s="3"/>
      <c r="BH21" s="1"/>
      <c r="BI21" s="1"/>
    </row>
    <row r="22" spans="1:61" s="37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7"/>
      <c r="BD22" s="3"/>
      <c r="BE22" s="17"/>
      <c r="BF22" s="3"/>
      <c r="BG22" s="3"/>
      <c r="BH22" s="1"/>
      <c r="BI22" s="1"/>
    </row>
    <row r="23" spans="1:61" s="37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7"/>
      <c r="BD23" s="3"/>
      <c r="BE23" s="17"/>
      <c r="BF23" s="3"/>
      <c r="BG23" s="3"/>
      <c r="BH23" s="1"/>
      <c r="BI23" s="1"/>
    </row>
    <row r="24" spans="1:61" s="37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7"/>
      <c r="BD24" s="3"/>
      <c r="BE24" s="17"/>
      <c r="BF24" s="3"/>
      <c r="BG24" s="3"/>
      <c r="BH24" s="1"/>
      <c r="BI24" s="1"/>
    </row>
    <row r="25" spans="1:61" s="37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7"/>
      <c r="BD25" s="3"/>
      <c r="BE25" s="17"/>
      <c r="BF25" s="3"/>
      <c r="BG25" s="3"/>
      <c r="BH25" s="1"/>
      <c r="BI25" s="1"/>
    </row>
    <row r="26" spans="1:61" s="37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7"/>
      <c r="BD26" s="3"/>
      <c r="BE26" s="17"/>
      <c r="BF26" s="3"/>
      <c r="BG26" s="3"/>
      <c r="BH26" s="1"/>
      <c r="BI26" s="1"/>
    </row>
    <row r="27" spans="1:61" s="37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7"/>
      <c r="BD27" s="3"/>
      <c r="BE27" s="17"/>
      <c r="BF27" s="3"/>
      <c r="BG27" s="3"/>
      <c r="BH27" s="1"/>
      <c r="BI27" s="1"/>
    </row>
    <row r="28" spans="1:61" s="37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7"/>
      <c r="BD28" s="3"/>
      <c r="BE28" s="17"/>
      <c r="BF28" s="3"/>
      <c r="BG28" s="3"/>
      <c r="BH28" s="1"/>
      <c r="BI28" s="1"/>
    </row>
    <row r="29" spans="1:61" s="37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7"/>
      <c r="BD29" s="3"/>
      <c r="BE29" s="17"/>
      <c r="BF29" s="3"/>
      <c r="BG29" s="3"/>
      <c r="BH29" s="1"/>
      <c r="BI29" s="1"/>
    </row>
    <row r="30" spans="1:61" s="37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7"/>
      <c r="BD30" s="3"/>
      <c r="BE30" s="17"/>
      <c r="BF30" s="3"/>
      <c r="BG30" s="3"/>
      <c r="BH30" s="1"/>
      <c r="BI30" s="1"/>
    </row>
    <row r="31" spans="1:61" s="37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7"/>
      <c r="BD31" s="3"/>
      <c r="BE31" s="17"/>
      <c r="BF31" s="3"/>
      <c r="BG31" s="3"/>
      <c r="BH31" s="1"/>
      <c r="BI31" s="1"/>
    </row>
    <row r="32" spans="1:61" s="37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7"/>
      <c r="BD32" s="3"/>
      <c r="BE32" s="17"/>
      <c r="BF32" s="3"/>
      <c r="BG32" s="3"/>
      <c r="BH32" s="1"/>
      <c r="BI32" s="1"/>
    </row>
    <row r="33" spans="1:61" s="37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7"/>
      <c r="BD33" s="3"/>
      <c r="BE33" s="17"/>
      <c r="BF33" s="3"/>
      <c r="BG33" s="3"/>
      <c r="BH33" s="1"/>
      <c r="BI33" s="1"/>
    </row>
    <row r="34" spans="1:61" s="37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7"/>
      <c r="BD34" s="3"/>
      <c r="BE34" s="17"/>
      <c r="BF34" s="3"/>
      <c r="BG34" s="3"/>
      <c r="BH34" s="1"/>
      <c r="BI34" s="1"/>
    </row>
    <row r="35" spans="1:61" s="37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7"/>
      <c r="BD35" s="3"/>
      <c r="BE35" s="17"/>
      <c r="BF35" s="3"/>
      <c r="BG35" s="3"/>
      <c r="BH35" s="1"/>
      <c r="BI35" s="1"/>
    </row>
    <row r="36" spans="1:61" s="37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7"/>
      <c r="BD36" s="3"/>
      <c r="BE36" s="17"/>
      <c r="BF36" s="3"/>
      <c r="BG36" s="3"/>
      <c r="BH36" s="1"/>
      <c r="BI36" s="1"/>
    </row>
    <row r="37" spans="1:61" s="37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7"/>
      <c r="BD37" s="3"/>
      <c r="BE37" s="17"/>
      <c r="BF37" s="3"/>
      <c r="BG37" s="3"/>
      <c r="BH37" s="1"/>
      <c r="BI37" s="1"/>
    </row>
    <row r="38" spans="1:61" s="37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7"/>
      <c r="BD38" s="3"/>
      <c r="BE38" s="17"/>
      <c r="BF38" s="3"/>
      <c r="BG38" s="3"/>
      <c r="BH38" s="1"/>
      <c r="BI38" s="1"/>
    </row>
    <row r="39" spans="1:61" s="37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7"/>
      <c r="BD39" s="3"/>
      <c r="BE39" s="17"/>
      <c r="BF39" s="3"/>
      <c r="BG39" s="3"/>
      <c r="BH39" s="1"/>
      <c r="BI39" s="1"/>
    </row>
    <row r="40" spans="1:61" s="37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7"/>
      <c r="BD40" s="3"/>
      <c r="BE40" s="17"/>
      <c r="BF40" s="3"/>
      <c r="BG40" s="3"/>
      <c r="BH40" s="1"/>
      <c r="BI40" s="1"/>
    </row>
    <row r="41" spans="1:61" s="37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7"/>
      <c r="BD41" s="3"/>
      <c r="BE41" s="17"/>
      <c r="BF41" s="3"/>
      <c r="BG41" s="3"/>
      <c r="BH41" s="1"/>
      <c r="BI41" s="1"/>
    </row>
    <row r="42" spans="1:61" s="37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7"/>
      <c r="BD42" s="3"/>
      <c r="BE42" s="17"/>
      <c r="BF42" s="3"/>
      <c r="BG42" s="3"/>
      <c r="BH42" s="1"/>
      <c r="BI42" s="1"/>
    </row>
    <row r="43" spans="1:61" s="37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7"/>
      <c r="BD43" s="3"/>
      <c r="BE43" s="17"/>
      <c r="BF43" s="3"/>
      <c r="BG43" s="3"/>
      <c r="BH43" s="1"/>
      <c r="BI43" s="1"/>
    </row>
    <row r="44" spans="1:61" s="37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7"/>
      <c r="BD44" s="3"/>
      <c r="BE44" s="17"/>
      <c r="BF44" s="3"/>
      <c r="BG44" s="3"/>
      <c r="BH44" s="1"/>
      <c r="BI44" s="1"/>
    </row>
    <row r="45" spans="1:61" s="37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7"/>
      <c r="BD45" s="3"/>
      <c r="BE45" s="17"/>
      <c r="BF45" s="3"/>
      <c r="BG45" s="3"/>
      <c r="BH45" s="1"/>
      <c r="BI45" s="1"/>
    </row>
    <row r="46" spans="1:61" s="37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7"/>
      <c r="BD46" s="3"/>
      <c r="BE46" s="17"/>
      <c r="BF46" s="3"/>
      <c r="BG46" s="3"/>
      <c r="BH46" s="1"/>
      <c r="BI46" s="1"/>
    </row>
    <row r="47" spans="1:61" s="37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7"/>
      <c r="BD47" s="3"/>
      <c r="BE47" s="17"/>
      <c r="BF47" s="3"/>
      <c r="BG47" s="3"/>
      <c r="BH47" s="1"/>
      <c r="BI47" s="1"/>
    </row>
    <row r="48" spans="1:61" s="37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7"/>
      <c r="BD48" s="3"/>
      <c r="BE48" s="17"/>
      <c r="BF48" s="3"/>
      <c r="BG48" s="3"/>
      <c r="BH48" s="1"/>
      <c r="BI48" s="1"/>
    </row>
    <row r="49" spans="1:61" s="37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7"/>
      <c r="BD49" s="3"/>
      <c r="BE49" s="17"/>
      <c r="BF49" s="3"/>
      <c r="BG49" s="3"/>
      <c r="BH49" s="1"/>
      <c r="BI49" s="1"/>
    </row>
    <row r="50" spans="1:61" s="37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7"/>
      <c r="BD50" s="3"/>
      <c r="BE50" s="17"/>
      <c r="BF50" s="3"/>
      <c r="BG50" s="3"/>
      <c r="BH50" s="1"/>
      <c r="BI50" s="1"/>
    </row>
    <row r="51" spans="1:61" s="37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7"/>
      <c r="BD51" s="3"/>
      <c r="BE51" s="17"/>
      <c r="BF51" s="3"/>
      <c r="BG51" s="3"/>
      <c r="BH51" s="1"/>
      <c r="BI51" s="1"/>
    </row>
    <row r="52" spans="1:61" s="37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7"/>
      <c r="BD52" s="3"/>
      <c r="BE52" s="17"/>
      <c r="BF52" s="3"/>
      <c r="BG52" s="3"/>
      <c r="BH52" s="1"/>
      <c r="BI52" s="1"/>
    </row>
    <row r="53" spans="1:61" s="37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7"/>
      <c r="BD53" s="3"/>
      <c r="BE53" s="17"/>
      <c r="BF53" s="3"/>
      <c r="BG53" s="3"/>
      <c r="BH53" s="1"/>
      <c r="BI53" s="1"/>
    </row>
    <row r="54" spans="1:61" s="37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7"/>
      <c r="BD54" s="3"/>
      <c r="BE54" s="17"/>
      <c r="BF54" s="3"/>
      <c r="BG54" s="3"/>
      <c r="BH54" s="1"/>
      <c r="BI54" s="1"/>
    </row>
    <row r="55" spans="1:61" s="37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7"/>
      <c r="BD55" s="3"/>
      <c r="BE55" s="17"/>
      <c r="BF55" s="3"/>
      <c r="BG55" s="3"/>
      <c r="BH55" s="1"/>
      <c r="BI55" s="1"/>
    </row>
    <row r="56" spans="1:61" s="37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7"/>
      <c r="BD56" s="3"/>
      <c r="BE56" s="17"/>
      <c r="BF56" s="3"/>
      <c r="BG56" s="3"/>
      <c r="BH56" s="1"/>
      <c r="BI56" s="1"/>
    </row>
    <row r="57" spans="1:61" s="37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7"/>
      <c r="BD57" s="3"/>
      <c r="BE57" s="17"/>
      <c r="BF57" s="3"/>
      <c r="BG57" s="3"/>
      <c r="BH57" s="1"/>
      <c r="BI57" s="1"/>
    </row>
    <row r="58" spans="1:61" s="37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7"/>
      <c r="BD58" s="3"/>
      <c r="BE58" s="17"/>
      <c r="BF58" s="3"/>
      <c r="BG58" s="3"/>
      <c r="BH58" s="1"/>
      <c r="BI58" s="1"/>
    </row>
    <row r="59" spans="1:61" s="37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7"/>
      <c r="BD59" s="3"/>
      <c r="BE59" s="17"/>
      <c r="BF59" s="3"/>
      <c r="BG59" s="3"/>
      <c r="BH59" s="1"/>
      <c r="BI59" s="1"/>
    </row>
    <row r="60" spans="1:61" s="37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7"/>
      <c r="BD60" s="3"/>
      <c r="BE60" s="17"/>
      <c r="BF60" s="3"/>
      <c r="BG60" s="3"/>
      <c r="BH60" s="1"/>
      <c r="BI60" s="1"/>
    </row>
    <row r="61" spans="1:61" s="37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7"/>
      <c r="BD61" s="3"/>
      <c r="BE61" s="17"/>
      <c r="BF61" s="3"/>
      <c r="BG61" s="3"/>
      <c r="BH61" s="1"/>
      <c r="BI61" s="1"/>
    </row>
    <row r="62" spans="1:61" s="37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7"/>
      <c r="BD62" s="3"/>
      <c r="BE62" s="17"/>
      <c r="BF62" s="3"/>
      <c r="BG62" s="3"/>
      <c r="BH62" s="1"/>
      <c r="BI62" s="1"/>
    </row>
    <row r="63" spans="1:61" s="37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7"/>
      <c r="BD63" s="3"/>
      <c r="BE63" s="17"/>
      <c r="BF63" s="3"/>
      <c r="BG63" s="3"/>
      <c r="BH63" s="1"/>
      <c r="BI63" s="1"/>
    </row>
    <row r="64" spans="1:61" s="37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7"/>
      <c r="BD64" s="3"/>
      <c r="BE64" s="17"/>
      <c r="BF64" s="3"/>
      <c r="BG64" s="3"/>
      <c r="BH64" s="1"/>
      <c r="BI64" s="1"/>
    </row>
    <row r="65" spans="1:61" s="37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7"/>
      <c r="BD65" s="3"/>
      <c r="BE65" s="17"/>
      <c r="BF65" s="3"/>
      <c r="BG65" s="3"/>
      <c r="BH65" s="1"/>
      <c r="BI65" s="1"/>
    </row>
    <row r="66" spans="1:61" s="37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7"/>
      <c r="BD66" s="3"/>
      <c r="BE66" s="17"/>
      <c r="BF66" s="3"/>
      <c r="BG66" s="3"/>
      <c r="BH66" s="1"/>
      <c r="BI66" s="1"/>
    </row>
    <row r="67" spans="1:61" s="37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7"/>
      <c r="BD67" s="3"/>
      <c r="BE67" s="17"/>
      <c r="BF67" s="3"/>
      <c r="BG67" s="3"/>
      <c r="BH67" s="1"/>
      <c r="BI67" s="1"/>
    </row>
    <row r="68" spans="1:61" s="37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7"/>
      <c r="BD68" s="3"/>
      <c r="BE68" s="17"/>
      <c r="BF68" s="3"/>
      <c r="BG68" s="3"/>
      <c r="BH68" s="1"/>
      <c r="BI68" s="1"/>
    </row>
    <row r="69" spans="1:61" s="37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7"/>
      <c r="BD69" s="3"/>
      <c r="BE69" s="17"/>
      <c r="BF69" s="3"/>
      <c r="BG69" s="3"/>
      <c r="BH69" s="1"/>
      <c r="BI69" s="1"/>
    </row>
    <row r="70" spans="1:61" s="37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7"/>
      <c r="BD70" s="3"/>
      <c r="BE70" s="17"/>
      <c r="BF70" s="3"/>
      <c r="BG70" s="3"/>
      <c r="BH70" s="1"/>
      <c r="BI70" s="1"/>
    </row>
    <row r="71" spans="1:61" s="37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7"/>
      <c r="BD71" s="3"/>
      <c r="BE71" s="17"/>
      <c r="BF71" s="3"/>
      <c r="BG71" s="3"/>
      <c r="BH71" s="1"/>
      <c r="BI71" s="1"/>
    </row>
    <row r="72" spans="1:61" s="37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7"/>
      <c r="BD72" s="3"/>
      <c r="BE72" s="17"/>
      <c r="BF72" s="3"/>
      <c r="BG72" s="3"/>
      <c r="BH72" s="1"/>
      <c r="BI72" s="1"/>
    </row>
    <row r="73" spans="1:61" s="37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7"/>
      <c r="BD73" s="3"/>
      <c r="BE73" s="17"/>
      <c r="BF73" s="3"/>
      <c r="BG73" s="3"/>
      <c r="BH73" s="1"/>
      <c r="BI73" s="1"/>
    </row>
    <row r="74" spans="1:61" s="37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7"/>
      <c r="BD74" s="3"/>
      <c r="BE74" s="17"/>
      <c r="BF74" s="3"/>
      <c r="BG74" s="3"/>
      <c r="BH74" s="1"/>
      <c r="BI74" s="1"/>
    </row>
    <row r="75" spans="1:61" s="37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7"/>
      <c r="BD75" s="3"/>
      <c r="BE75" s="17"/>
      <c r="BF75" s="3"/>
      <c r="BG75" s="3"/>
      <c r="BH75" s="1"/>
      <c r="BI75" s="1"/>
    </row>
    <row r="76" spans="1:61" s="37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7"/>
      <c r="BD76" s="3"/>
      <c r="BE76" s="17"/>
      <c r="BF76" s="3"/>
      <c r="BG76" s="3"/>
      <c r="BH76" s="1"/>
      <c r="BI76" s="1"/>
    </row>
    <row r="77" spans="1:61" s="37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7"/>
      <c r="BD77" s="3"/>
      <c r="BE77" s="17"/>
      <c r="BF77" s="3"/>
      <c r="BG77" s="3"/>
      <c r="BH77" s="1"/>
      <c r="BI77" s="1"/>
    </row>
    <row r="78" spans="1:61" s="37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7"/>
      <c r="BD78" s="3"/>
      <c r="BE78" s="17"/>
      <c r="BF78" s="3"/>
      <c r="BG78" s="3"/>
      <c r="BH78" s="1"/>
      <c r="BI78" s="1"/>
    </row>
    <row r="79" spans="1:61" s="37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7"/>
      <c r="BD79" s="3"/>
      <c r="BE79" s="17"/>
      <c r="BF79" s="3"/>
      <c r="BG79" s="3"/>
      <c r="BH79" s="1"/>
      <c r="BI79" s="1"/>
    </row>
    <row r="80" spans="1:61" s="37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7"/>
      <c r="BD80" s="3"/>
      <c r="BE80" s="17"/>
      <c r="BF80" s="3"/>
      <c r="BG80" s="3"/>
      <c r="BH80" s="1"/>
      <c r="BI80" s="1"/>
    </row>
    <row r="81" spans="1:61" s="37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7"/>
      <c r="BD81" s="3"/>
      <c r="BE81" s="17"/>
      <c r="BF81" s="3"/>
      <c r="BG81" s="3"/>
      <c r="BH81" s="1"/>
      <c r="BI81" s="1"/>
    </row>
    <row r="82" spans="1:61" s="37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7"/>
      <c r="BD82" s="3"/>
      <c r="BE82" s="17"/>
      <c r="BF82" s="3"/>
      <c r="BG82" s="3"/>
      <c r="BH82" s="1"/>
      <c r="BI82" s="1"/>
    </row>
    <row r="83" spans="1:61" s="37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7"/>
      <c r="BD83" s="3"/>
      <c r="BE83" s="17"/>
      <c r="BF83" s="3"/>
      <c r="BG83" s="3"/>
      <c r="BH83" s="1"/>
      <c r="BI83" s="1"/>
    </row>
    <row r="84" spans="1:61" s="37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7"/>
      <c r="BD84" s="3"/>
      <c r="BE84" s="17"/>
      <c r="BF84" s="3"/>
      <c r="BG84" s="3"/>
      <c r="BH84" s="1"/>
      <c r="BI84" s="1"/>
    </row>
    <row r="85" spans="1:61" s="37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7"/>
      <c r="BD85" s="3"/>
      <c r="BE85" s="17"/>
      <c r="BF85" s="3"/>
      <c r="BG85" s="3"/>
      <c r="BH85" s="1"/>
      <c r="BI85" s="1"/>
    </row>
    <row r="86" spans="1:61" s="37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7"/>
      <c r="BD86" s="3"/>
      <c r="BE86" s="17"/>
      <c r="BF86" s="3"/>
      <c r="BG86" s="3"/>
      <c r="BH86" s="1"/>
      <c r="BI86" s="1"/>
    </row>
    <row r="87" spans="1:61" s="37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7"/>
      <c r="BD87" s="3"/>
      <c r="BE87" s="17"/>
      <c r="BF87" s="3"/>
      <c r="BG87" s="3"/>
      <c r="BH87" s="1"/>
      <c r="BI87" s="1"/>
    </row>
    <row r="88" spans="1:61" s="37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7"/>
      <c r="BD88" s="3"/>
      <c r="BE88" s="17"/>
      <c r="BF88" s="3"/>
      <c r="BG88" s="3"/>
      <c r="BH88" s="1"/>
      <c r="BI88" s="1"/>
    </row>
    <row r="89" spans="1:61" s="37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7"/>
      <c r="BD89" s="3"/>
      <c r="BE89" s="17"/>
      <c r="BF89" s="3"/>
      <c r="BG89" s="3"/>
      <c r="BH89" s="1"/>
      <c r="BI89" s="1"/>
    </row>
    <row r="90" spans="1:61" s="37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7"/>
      <c r="BD90" s="3"/>
      <c r="BE90" s="17"/>
      <c r="BF90" s="3"/>
      <c r="BG90" s="3"/>
      <c r="BH90" s="1"/>
      <c r="BI90" s="1"/>
    </row>
    <row r="91" spans="1:61" s="37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7"/>
      <c r="BD91" s="3"/>
      <c r="BE91" s="17"/>
      <c r="BF91" s="3"/>
      <c r="BG91" s="3"/>
      <c r="BH91" s="1"/>
      <c r="BI91" s="1"/>
    </row>
    <row r="92" spans="1:61" s="37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7"/>
      <c r="BD92" s="3"/>
      <c r="BE92" s="17"/>
      <c r="BF92" s="3"/>
      <c r="BG92" s="3"/>
      <c r="BH92" s="1"/>
      <c r="BI92" s="1"/>
    </row>
    <row r="93" spans="1:61" s="37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7"/>
      <c r="BD93" s="3"/>
      <c r="BE93" s="17"/>
      <c r="BF93" s="3"/>
      <c r="BG93" s="3"/>
      <c r="BH93" s="1"/>
      <c r="BI93" s="1"/>
    </row>
    <row r="94" spans="1:61" s="37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7"/>
      <c r="BD94" s="3"/>
      <c r="BE94" s="17"/>
      <c r="BF94" s="3"/>
      <c r="BG94" s="3"/>
      <c r="BH94" s="1"/>
      <c r="BI94" s="1"/>
    </row>
    <row r="95" spans="1:61" s="37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7"/>
      <c r="BD95" s="3"/>
      <c r="BE95" s="17"/>
      <c r="BF95" s="3"/>
      <c r="BG95" s="3"/>
      <c r="BH95" s="1"/>
      <c r="BI95" s="1"/>
    </row>
    <row r="96" spans="1:61" s="37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7"/>
      <c r="BD96" s="3"/>
      <c r="BE96" s="17"/>
      <c r="BF96" s="3"/>
      <c r="BG96" s="3"/>
      <c r="BH96" s="1"/>
      <c r="BI96" s="1"/>
    </row>
    <row r="97" spans="1:61" s="37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7"/>
      <c r="BD97" s="3"/>
      <c r="BE97" s="17"/>
      <c r="BF97" s="3"/>
      <c r="BG97" s="3"/>
      <c r="BH97" s="1"/>
      <c r="BI97" s="1"/>
    </row>
    <row r="98" spans="1:61" s="37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7"/>
      <c r="BD98" s="3"/>
      <c r="BE98" s="17"/>
      <c r="BF98" s="3"/>
      <c r="BG98" s="3"/>
      <c r="BH98" s="1"/>
      <c r="BI98" s="1"/>
    </row>
    <row r="99" spans="1:61" s="37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7"/>
      <c r="BD99" s="3"/>
      <c r="BE99" s="17"/>
      <c r="BF99" s="3"/>
      <c r="BG99" s="3"/>
      <c r="BH99" s="1"/>
      <c r="BI99" s="1"/>
    </row>
    <row r="100" spans="1:61" s="37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7"/>
      <c r="BD100" s="3"/>
      <c r="BE100" s="17"/>
      <c r="BF100" s="3"/>
      <c r="BG100" s="3"/>
      <c r="BH100" s="1"/>
      <c r="BI100" s="1"/>
    </row>
    <row r="101" spans="1:61" s="37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7"/>
      <c r="BD101" s="3"/>
      <c r="BE101" s="17"/>
      <c r="BF101" s="3"/>
      <c r="BG101" s="3"/>
      <c r="BH101" s="1"/>
      <c r="BI101" s="1"/>
    </row>
    <row r="102" spans="1:61" s="37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7"/>
      <c r="BD102" s="3"/>
      <c r="BE102" s="17"/>
      <c r="BF102" s="3"/>
      <c r="BG102" s="3"/>
      <c r="BH102" s="1"/>
      <c r="BI102" s="1"/>
    </row>
    <row r="103" spans="1:61" s="37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7"/>
      <c r="BD103" s="3"/>
      <c r="BE103" s="17"/>
      <c r="BF103" s="3"/>
      <c r="BG103" s="3"/>
      <c r="BH103" s="1"/>
      <c r="BI103" s="1"/>
    </row>
    <row r="104" spans="1:61" s="37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7"/>
      <c r="BD104" s="3"/>
      <c r="BE104" s="17"/>
      <c r="BF104" s="3"/>
      <c r="BG104" s="3"/>
      <c r="BH104" s="1"/>
      <c r="BI104" s="1"/>
    </row>
    <row r="105" spans="1:61" s="37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7"/>
      <c r="BD105" s="3"/>
      <c r="BE105" s="17"/>
      <c r="BF105" s="3"/>
      <c r="BG105" s="3"/>
      <c r="BH105" s="1"/>
      <c r="BI105" s="1"/>
    </row>
    <row r="106" spans="1:61" s="37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7"/>
      <c r="BD106" s="3"/>
      <c r="BE106" s="17"/>
      <c r="BF106" s="3"/>
      <c r="BG106" s="3"/>
      <c r="BH106" s="1"/>
      <c r="BI106" s="1"/>
    </row>
    <row r="107" spans="1:61" s="37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7"/>
      <c r="BD107" s="3"/>
      <c r="BE107" s="17"/>
      <c r="BF107" s="3"/>
      <c r="BG107" s="3"/>
      <c r="BH107" s="1"/>
      <c r="BI107" s="1"/>
    </row>
    <row r="108" spans="1:61" s="37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7"/>
      <c r="BD108" s="3"/>
      <c r="BE108" s="17"/>
      <c r="BF108" s="3"/>
      <c r="BG108" s="3"/>
      <c r="BH108" s="1"/>
      <c r="BI108" s="1"/>
    </row>
    <row r="109" spans="1:61" s="37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7"/>
      <c r="BD109" s="3"/>
      <c r="BE109" s="17"/>
      <c r="BF109" s="3"/>
      <c r="BG109" s="3"/>
      <c r="BH109" s="1"/>
      <c r="BI109" s="1"/>
    </row>
    <row r="110" spans="1:61" s="37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7"/>
      <c r="BD110" s="3"/>
      <c r="BE110" s="17"/>
      <c r="BF110" s="3"/>
      <c r="BG110" s="3"/>
      <c r="BH110" s="1"/>
      <c r="BI110" s="1"/>
    </row>
    <row r="111" spans="1:61" s="37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7"/>
      <c r="BD111" s="3"/>
      <c r="BE111" s="17"/>
      <c r="BF111" s="3"/>
      <c r="BG111" s="3"/>
      <c r="BH111" s="1"/>
      <c r="BI111" s="1"/>
    </row>
    <row r="112" spans="1:61" s="37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7"/>
      <c r="BD112" s="3"/>
      <c r="BE112" s="17"/>
      <c r="BF112" s="3"/>
      <c r="BG112" s="3"/>
      <c r="BH112" s="1"/>
      <c r="BI112" s="1"/>
    </row>
    <row r="113" spans="1:61" s="37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7"/>
      <c r="BD113" s="3"/>
      <c r="BE113" s="17"/>
      <c r="BF113" s="3"/>
      <c r="BG113" s="3"/>
      <c r="BH113" s="1"/>
      <c r="BI113" s="1"/>
    </row>
    <row r="114" spans="1:61" s="37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7"/>
      <c r="BD114" s="3"/>
      <c r="BE114" s="17"/>
      <c r="BF114" s="3"/>
      <c r="BG114" s="3"/>
      <c r="BH114" s="1"/>
      <c r="BI114" s="1"/>
    </row>
    <row r="115" spans="1:61" s="37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7"/>
      <c r="BD115" s="3"/>
      <c r="BE115" s="17"/>
      <c r="BF115" s="3"/>
      <c r="BG115" s="3"/>
      <c r="BH115" s="1"/>
      <c r="BI115" s="1"/>
    </row>
    <row r="116" spans="1:61" s="37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7"/>
      <c r="BD116" s="3"/>
      <c r="BE116" s="17"/>
      <c r="BF116" s="3"/>
      <c r="BG116" s="3"/>
      <c r="BH116" s="1"/>
      <c r="BI116" s="1"/>
    </row>
    <row r="117" spans="1:61" s="37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7"/>
      <c r="BD117" s="3"/>
      <c r="BE117" s="17"/>
      <c r="BF117" s="3"/>
      <c r="BG117" s="3"/>
      <c r="BH117" s="1"/>
      <c r="BI117" s="1"/>
    </row>
    <row r="118" spans="1:61" s="37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7"/>
      <c r="BD118" s="3"/>
      <c r="BE118" s="17"/>
      <c r="BF118" s="3"/>
      <c r="BG118" s="3"/>
      <c r="BH118" s="1"/>
      <c r="BI118" s="1"/>
    </row>
    <row r="119" spans="1:61" s="37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7"/>
      <c r="BD119" s="3"/>
      <c r="BE119" s="17"/>
      <c r="BF119" s="3"/>
      <c r="BG119" s="3"/>
      <c r="BH119" s="1"/>
      <c r="BI119" s="1"/>
    </row>
    <row r="120" spans="1:61" s="37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7"/>
      <c r="BD120" s="3"/>
      <c r="BE120" s="17"/>
      <c r="BF120" s="3"/>
      <c r="BG120" s="3"/>
      <c r="BH120" s="1"/>
      <c r="BI120" s="1"/>
    </row>
    <row r="121" spans="1:61" s="37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7"/>
      <c r="BD121" s="3"/>
      <c r="BE121" s="17"/>
      <c r="BF121" s="3"/>
      <c r="BG121" s="3"/>
      <c r="BH121" s="1"/>
      <c r="BI121" s="1"/>
    </row>
    <row r="122" spans="1:61" s="37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7"/>
      <c r="BD122" s="3"/>
      <c r="BE122" s="17"/>
      <c r="BF122" s="3"/>
      <c r="BG122" s="3"/>
      <c r="BH122" s="1"/>
      <c r="BI122" s="1"/>
    </row>
    <row r="123" spans="1:61" s="37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7"/>
      <c r="BD123" s="3"/>
      <c r="BE123" s="17"/>
      <c r="BF123" s="3"/>
      <c r="BG123" s="3"/>
      <c r="BH123" s="1"/>
      <c r="BI123" s="1"/>
    </row>
    <row r="124" spans="1:61" s="37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7"/>
      <c r="BD124" s="3"/>
      <c r="BE124" s="17"/>
      <c r="BF124" s="3"/>
      <c r="BG124" s="3"/>
      <c r="BH124" s="1"/>
      <c r="BI124" s="1"/>
    </row>
    <row r="125" spans="1:61" s="37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7"/>
      <c r="BD125" s="3"/>
      <c r="BE125" s="17"/>
      <c r="BF125" s="3"/>
      <c r="BG125" s="3"/>
      <c r="BH125" s="1"/>
      <c r="BI125" s="1"/>
    </row>
    <row r="126" spans="1:61" s="37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7"/>
      <c r="BD126" s="3"/>
      <c r="BE126" s="17"/>
      <c r="BF126" s="3"/>
      <c r="BG126" s="3"/>
      <c r="BH126" s="1"/>
      <c r="BI126" s="1"/>
    </row>
    <row r="127" spans="1:61" s="37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7"/>
      <c r="BD127" s="3"/>
      <c r="BE127" s="17"/>
      <c r="BF127" s="3"/>
      <c r="BG127" s="3"/>
      <c r="BH127" s="1"/>
      <c r="BI127" s="1"/>
    </row>
    <row r="128" spans="1:61" s="37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7"/>
      <c r="BD128" s="3"/>
      <c r="BE128" s="17"/>
      <c r="BF128" s="3"/>
      <c r="BG128" s="3"/>
      <c r="BH128" s="1"/>
      <c r="BI128" s="1"/>
    </row>
    <row r="129" spans="1:61" s="37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7"/>
      <c r="BD129" s="3"/>
      <c r="BE129" s="17"/>
      <c r="BF129" s="3"/>
      <c r="BG129" s="3"/>
      <c r="BH129" s="1"/>
      <c r="BI129" s="1"/>
    </row>
    <row r="130" spans="1:61" s="37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7"/>
      <c r="BD130" s="3"/>
      <c r="BE130" s="17"/>
      <c r="BF130" s="3"/>
      <c r="BG130" s="3"/>
      <c r="BH130" s="1"/>
      <c r="BI130" s="1"/>
    </row>
    <row r="131" spans="1:61" s="37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7"/>
      <c r="BD131" s="3"/>
      <c r="BE131" s="17"/>
      <c r="BF131" s="3"/>
      <c r="BG131" s="3"/>
      <c r="BH131" s="1"/>
      <c r="BI131" s="1"/>
    </row>
    <row r="132" spans="1:61" s="37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7"/>
      <c r="BD132" s="3"/>
      <c r="BE132" s="17"/>
      <c r="BF132" s="3"/>
      <c r="BG132" s="3"/>
      <c r="BH132" s="1"/>
      <c r="BI132" s="1"/>
    </row>
    <row r="133" spans="1:61" s="37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7"/>
      <c r="BD133" s="3"/>
      <c r="BE133" s="17"/>
      <c r="BF133" s="3"/>
      <c r="BG133" s="3"/>
      <c r="BH133" s="1"/>
      <c r="BI133" s="1"/>
    </row>
    <row r="134" spans="1:61" s="37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7"/>
      <c r="BD134" s="3"/>
      <c r="BE134" s="17"/>
      <c r="BF134" s="3"/>
      <c r="BG134" s="3"/>
      <c r="BH134" s="1"/>
      <c r="BI134" s="1"/>
    </row>
    <row r="135" spans="1:61" s="37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7"/>
      <c r="BD135" s="3"/>
      <c r="BE135" s="17"/>
      <c r="BF135" s="3"/>
      <c r="BG135" s="3"/>
      <c r="BH135" s="1"/>
      <c r="BI135" s="1"/>
    </row>
    <row r="136" spans="1:61" s="37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7"/>
      <c r="BD136" s="3"/>
      <c r="BE136" s="17"/>
      <c r="BF136" s="3"/>
      <c r="BG136" s="3"/>
      <c r="BH136" s="1"/>
      <c r="BI136" s="1"/>
    </row>
    <row r="137" spans="1:61" s="37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7"/>
      <c r="BD137" s="3"/>
      <c r="BE137" s="17"/>
      <c r="BF137" s="3"/>
      <c r="BG137" s="3"/>
      <c r="BH137" s="1"/>
      <c r="BI137" s="1"/>
    </row>
    <row r="138" spans="1:61" s="37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7"/>
      <c r="BD138" s="3"/>
      <c r="BE138" s="17"/>
      <c r="BF138" s="3"/>
      <c r="BG138" s="3"/>
      <c r="BH138" s="1"/>
      <c r="BI138" s="1"/>
    </row>
    <row r="139" spans="1:61" s="37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7"/>
      <c r="BD139" s="3"/>
      <c r="BE139" s="17"/>
      <c r="BF139" s="3"/>
      <c r="BG139" s="3"/>
      <c r="BH139" s="1"/>
      <c r="BI139" s="1"/>
    </row>
    <row r="140" spans="1:61" s="37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7"/>
      <c r="BD140" s="3"/>
      <c r="BE140" s="17"/>
      <c r="BF140" s="3"/>
      <c r="BG140" s="3"/>
      <c r="BH140" s="1"/>
      <c r="BI140" s="1"/>
    </row>
    <row r="141" spans="1:61" s="37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1"/>
      <c r="AT141" s="1"/>
      <c r="AU141" s="1"/>
      <c r="AV141" s="1"/>
      <c r="AW141" s="1"/>
      <c r="AX141" s="1"/>
      <c r="AY141" s="1"/>
      <c r="AZ141" s="3"/>
      <c r="BA141" s="3"/>
      <c r="BB141" s="3"/>
      <c r="BC141" s="17"/>
      <c r="BD141" s="3"/>
      <c r="BE141" s="17"/>
      <c r="BF141" s="3"/>
      <c r="BG141" s="3"/>
      <c r="BH141" s="1"/>
      <c r="BI141" s="1"/>
    </row>
    <row r="142" spans="1:61" s="37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1"/>
      <c r="AS142" s="1"/>
      <c r="AT142" s="1"/>
      <c r="AU142" s="1"/>
      <c r="AV142" s="1"/>
      <c r="AW142" s="1"/>
      <c r="AX142" s="1"/>
      <c r="AY142" s="1"/>
      <c r="AZ142" s="3"/>
      <c r="BA142" s="3"/>
      <c r="BB142" s="3"/>
      <c r="BC142" s="17"/>
      <c r="BD142" s="3"/>
      <c r="BE142" s="17"/>
      <c r="BF142" s="3"/>
      <c r="BG142" s="3"/>
      <c r="BH142" s="1"/>
      <c r="BI142" s="1"/>
    </row>
    <row r="143" spans="1:61" s="37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1"/>
      <c r="AS143" s="1"/>
      <c r="AT143" s="1"/>
      <c r="AU143" s="1"/>
      <c r="AV143" s="1"/>
      <c r="AW143" s="1"/>
      <c r="AX143" s="1"/>
      <c r="AY143" s="1"/>
      <c r="AZ143" s="3"/>
      <c r="BA143" s="3"/>
      <c r="BB143" s="3"/>
      <c r="BC143" s="17"/>
      <c r="BD143" s="3"/>
      <c r="BE143" s="17"/>
      <c r="BF143" s="3"/>
      <c r="BG143" s="3"/>
      <c r="BH143" s="1"/>
      <c r="BI143" s="1"/>
    </row>
    <row r="144" spans="1:61" s="37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1"/>
      <c r="AS144" s="1"/>
      <c r="AT144" s="1"/>
      <c r="AU144" s="1"/>
      <c r="AV144" s="1"/>
      <c r="AW144" s="1"/>
      <c r="AX144" s="1"/>
      <c r="AY144" s="1"/>
      <c r="AZ144" s="3"/>
      <c r="BA144" s="3"/>
      <c r="BB144" s="3"/>
      <c r="BC144" s="17"/>
      <c r="BD144" s="3"/>
      <c r="BE144" s="17"/>
      <c r="BF144" s="3"/>
      <c r="BG144" s="3"/>
      <c r="BH144" s="1"/>
      <c r="BI144" s="1"/>
    </row>
    <row r="145" spans="1:61" s="37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1"/>
      <c r="AS145" s="1"/>
      <c r="AT145" s="1"/>
      <c r="AU145" s="1"/>
      <c r="AV145" s="1"/>
      <c r="AW145" s="1"/>
      <c r="AX145" s="1"/>
      <c r="AY145" s="1"/>
      <c r="AZ145" s="3"/>
      <c r="BA145" s="3"/>
      <c r="BB145" s="3"/>
      <c r="BC145" s="17"/>
      <c r="BD145" s="3"/>
      <c r="BE145" s="17"/>
      <c r="BF145" s="3"/>
      <c r="BG145" s="3"/>
      <c r="BH145" s="1"/>
      <c r="BI145" s="1"/>
    </row>
    <row r="146" spans="1:61" s="37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1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7"/>
      <c r="BD146" s="3"/>
      <c r="BE146" s="17"/>
      <c r="BF146" s="3"/>
      <c r="BG146" s="3"/>
      <c r="BH146" s="1"/>
      <c r="BI146" s="1"/>
    </row>
    <row r="147" spans="1:61" s="37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7"/>
      <c r="BD147" s="3"/>
      <c r="BE147" s="17"/>
      <c r="BF147" s="3"/>
      <c r="BG147" s="3"/>
      <c r="BH147" s="1"/>
      <c r="BI147" s="1"/>
    </row>
    <row r="148" spans="1:61" s="37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7"/>
      <c r="BD148" s="3"/>
      <c r="BE148" s="17"/>
      <c r="BF148" s="3"/>
      <c r="BG148" s="3"/>
      <c r="BH148" s="1"/>
      <c r="BI148" s="1"/>
    </row>
    <row r="149" spans="1:61" s="37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7"/>
      <c r="BD149" s="3"/>
      <c r="BE149" s="17"/>
      <c r="BF149" s="3"/>
      <c r="BG149" s="3"/>
      <c r="BH149" s="1"/>
      <c r="BI149" s="1"/>
    </row>
    <row r="150" spans="1:61" s="37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7"/>
      <c r="BD150" s="3"/>
      <c r="BE150" s="17"/>
      <c r="BF150" s="3"/>
      <c r="BG150" s="3"/>
      <c r="BH150" s="1"/>
      <c r="BI150" s="1"/>
    </row>
    <row r="151" spans="1:61" s="37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7"/>
      <c r="BD151" s="3"/>
      <c r="BE151" s="17"/>
      <c r="BF151" s="3"/>
      <c r="BG151" s="3"/>
      <c r="BH151" s="1"/>
      <c r="BI151" s="1"/>
    </row>
    <row r="152" spans="1:61" s="37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7"/>
      <c r="BD152" s="3"/>
      <c r="BE152" s="17"/>
      <c r="BF152" s="3"/>
      <c r="BG152" s="3"/>
      <c r="BH152" s="1"/>
      <c r="BI152" s="1"/>
    </row>
    <row r="153" spans="1:61" s="37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7"/>
      <c r="BD153" s="3"/>
      <c r="BE153" s="17"/>
      <c r="BF153" s="3"/>
      <c r="BG153" s="3"/>
      <c r="BH153" s="1"/>
      <c r="BI153" s="1"/>
    </row>
    <row r="154" spans="1:61" s="37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7"/>
      <c r="BD154" s="3"/>
      <c r="BE154" s="17"/>
      <c r="BF154" s="3"/>
      <c r="BG154" s="3"/>
      <c r="BH154" s="1"/>
      <c r="BI154" s="1"/>
    </row>
    <row r="155" spans="1:61" s="37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7"/>
      <c r="BD155" s="3"/>
      <c r="BE155" s="17"/>
      <c r="BF155" s="3"/>
      <c r="BG155" s="3"/>
      <c r="BH155" s="1"/>
      <c r="BI155" s="1"/>
    </row>
    <row r="156" spans="1:61" s="37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7"/>
      <c r="BD156" s="3"/>
      <c r="BE156" s="17"/>
      <c r="BF156" s="3"/>
      <c r="BG156" s="3"/>
      <c r="BH156" s="1"/>
      <c r="BI156" s="1"/>
    </row>
    <row r="157" spans="1:61" s="37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7"/>
      <c r="BD157" s="3"/>
      <c r="BE157" s="17"/>
      <c r="BF157" s="3"/>
      <c r="BG157" s="3"/>
      <c r="BH157" s="1"/>
      <c r="BI157" s="1"/>
    </row>
    <row r="158" spans="1:61" s="37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7"/>
      <c r="BD158" s="3"/>
      <c r="BE158" s="17"/>
      <c r="BF158" s="3"/>
      <c r="BG158" s="3"/>
      <c r="BH158" s="1"/>
      <c r="BI158" s="1"/>
    </row>
    <row r="159" spans="1:61" s="37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7"/>
      <c r="BD159" s="3"/>
      <c r="BE159" s="17"/>
      <c r="BF159" s="3"/>
      <c r="BG159" s="3"/>
      <c r="BH159" s="1"/>
      <c r="BI159" s="1"/>
    </row>
    <row r="160" spans="1:61" s="37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7"/>
      <c r="BD160" s="3"/>
      <c r="BE160" s="17"/>
      <c r="BF160" s="3"/>
      <c r="BG160" s="3"/>
      <c r="BH160" s="1"/>
      <c r="BI160" s="1"/>
    </row>
    <row r="161" spans="1:61" s="37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7"/>
      <c r="BD161" s="3"/>
      <c r="BE161" s="17"/>
      <c r="BF161" s="3"/>
      <c r="BG161" s="3"/>
      <c r="BH161" s="1"/>
      <c r="BI161" s="1"/>
    </row>
    <row r="162" spans="1:61" s="37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7"/>
      <c r="BD162" s="3"/>
      <c r="BE162" s="17"/>
      <c r="BF162" s="3"/>
      <c r="BG162" s="3"/>
      <c r="BH162" s="1"/>
      <c r="BI162" s="1"/>
    </row>
    <row r="163" spans="1:61" s="37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7"/>
      <c r="BD163" s="3"/>
      <c r="BE163" s="17"/>
      <c r="BF163" s="3"/>
      <c r="BG163" s="3"/>
      <c r="BH163" s="1"/>
      <c r="BI163" s="1"/>
    </row>
    <row r="164" spans="1:61" s="37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7"/>
      <c r="BD164" s="3"/>
      <c r="BE164" s="17"/>
      <c r="BF164" s="3"/>
      <c r="BG164" s="3"/>
      <c r="BH164" s="1"/>
      <c r="BI164" s="1"/>
    </row>
    <row r="165" spans="1:61" s="37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7"/>
      <c r="BD165" s="3"/>
      <c r="BE165" s="17"/>
      <c r="BF165" s="3"/>
      <c r="BG165" s="3"/>
      <c r="BH165" s="1"/>
      <c r="BI165" s="1"/>
    </row>
    <row r="166" spans="1:61" s="37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7"/>
      <c r="BD166" s="3"/>
      <c r="BE166" s="17"/>
      <c r="BF166" s="3"/>
      <c r="BG166" s="3"/>
      <c r="BH166" s="1"/>
      <c r="BI166" s="1"/>
    </row>
    <row r="167" spans="1:61" s="37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7"/>
      <c r="BD167" s="3"/>
      <c r="BE167" s="17"/>
      <c r="BF167" s="3"/>
      <c r="BG167" s="3"/>
      <c r="BH167" s="1"/>
      <c r="BI167" s="1"/>
    </row>
    <row r="168" spans="1:61" s="37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7"/>
      <c r="BD168" s="3"/>
      <c r="BE168" s="17"/>
      <c r="BF168" s="3"/>
      <c r="BG168" s="3"/>
      <c r="BH168" s="1"/>
      <c r="BI168" s="1"/>
    </row>
    <row r="169" spans="1:61" s="37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7"/>
      <c r="BD169" s="3"/>
      <c r="BE169" s="17"/>
      <c r="BF169" s="3"/>
      <c r="BG169" s="3"/>
      <c r="BH169" s="1"/>
      <c r="BI169" s="1"/>
    </row>
    <row r="170" spans="1:61" s="37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7"/>
      <c r="BD170" s="3"/>
      <c r="BE170" s="17"/>
      <c r="BF170" s="3"/>
      <c r="BG170" s="3"/>
      <c r="BH170" s="1"/>
      <c r="BI170" s="1"/>
    </row>
    <row r="171" spans="1:61" s="37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7"/>
      <c r="BD171" s="3"/>
      <c r="BE171" s="17"/>
      <c r="BF171" s="3"/>
      <c r="BG171" s="3"/>
      <c r="BH171" s="1"/>
      <c r="BI171" s="1"/>
    </row>
    <row r="172" spans="1:61" s="37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7"/>
      <c r="BD172" s="3"/>
      <c r="BE172" s="17"/>
      <c r="BF172" s="3"/>
      <c r="BG172" s="3"/>
      <c r="BH172" s="1"/>
      <c r="BI172" s="1"/>
    </row>
    <row r="173" spans="1:61" s="37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7"/>
      <c r="BD173" s="3"/>
      <c r="BE173" s="17"/>
      <c r="BF173" s="3"/>
      <c r="BG173" s="3"/>
      <c r="BH173" s="1"/>
      <c r="BI173" s="1"/>
    </row>
    <row r="174" spans="1:61" s="37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7"/>
      <c r="BD174" s="3"/>
      <c r="BE174" s="17"/>
      <c r="BF174" s="3"/>
      <c r="BG174" s="3"/>
      <c r="BH174" s="1"/>
      <c r="BI174" s="1"/>
    </row>
    <row r="175" spans="1:61" s="37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7"/>
      <c r="BD175" s="3"/>
      <c r="BE175" s="17"/>
      <c r="BF175" s="3"/>
      <c r="BG175" s="3"/>
      <c r="BH175" s="1"/>
      <c r="BI175" s="1"/>
    </row>
    <row r="176" spans="1:61" s="37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7"/>
      <c r="BD176" s="3"/>
      <c r="BE176" s="17"/>
      <c r="BF176" s="3"/>
      <c r="BG176" s="3"/>
      <c r="BH176" s="1"/>
      <c r="BI176" s="1"/>
    </row>
    <row r="177" spans="1:61" s="37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7"/>
      <c r="BD177" s="3"/>
      <c r="BE177" s="17"/>
      <c r="BF177" s="3"/>
      <c r="BG177" s="3"/>
      <c r="BH177" s="1"/>
      <c r="BI177" s="1"/>
    </row>
    <row r="178" spans="1:61" s="37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7"/>
      <c r="BD178" s="3"/>
      <c r="BE178" s="17"/>
      <c r="BF178" s="3"/>
      <c r="BG178" s="3"/>
      <c r="BH178" s="1"/>
      <c r="BI178" s="1"/>
    </row>
    <row r="179" spans="1:61" s="37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7"/>
      <c r="BD179" s="3"/>
      <c r="BE179" s="17"/>
      <c r="BF179" s="3"/>
      <c r="BG179" s="3"/>
      <c r="BH179" s="1"/>
      <c r="BI17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2" customWidth="1"/>
    <col min="2" max="2" width="62.28515625" style="52" customWidth="1"/>
    <col min="3" max="16384" width="9.140625" style="5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3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190</v>
      </c>
    </row>
    <row r="7" spans="1:2" x14ac:dyDescent="0.25">
      <c r="A7" s="22" t="s">
        <v>178</v>
      </c>
      <c r="B7" s="20">
        <v>1</v>
      </c>
    </row>
    <row r="8" spans="1:2" x14ac:dyDescent="0.25">
      <c r="A8" s="57" t="s">
        <v>187</v>
      </c>
      <c r="B8" t="s">
        <v>188</v>
      </c>
    </row>
    <row r="9" spans="1:2" x14ac:dyDescent="0.25">
      <c r="A9" s="57" t="s">
        <v>189</v>
      </c>
      <c r="B9" s="57"/>
    </row>
    <row r="10" spans="1:2" x14ac:dyDescent="0.25">
      <c r="A10" s="50" t="s">
        <v>145</v>
      </c>
      <c r="B10" t="s">
        <v>188</v>
      </c>
    </row>
    <row r="11" spans="1:2" x14ac:dyDescent="0.25">
      <c r="A11" s="57" t="s">
        <v>189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2025-07-22T13:07:23Z</dcterms:modified>
</cp:coreProperties>
</file>