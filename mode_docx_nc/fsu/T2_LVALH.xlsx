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H7" i="6" l="1"/>
  <c r="AW7" i="6"/>
  <c r="K7" i="6"/>
  <c r="J7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6" i="6"/>
  <c r="AW6" i="6"/>
  <c r="K6" i="6"/>
  <c r="J6" i="6"/>
  <c r="BH5" i="6"/>
  <c r="AW5" i="6"/>
  <c r="K5" i="6"/>
  <c r="J5" i="6"/>
  <c r="BH4" i="6"/>
  <c r="AW4" i="6"/>
  <c r="K4" i="6"/>
  <c r="J4" i="6"/>
  <c r="AI1" i="6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BG3" i="4" l="1"/>
  <c r="AV3" i="4"/>
  <c r="J3" i="4"/>
  <c r="I3" i="4"/>
  <c r="BH3" i="6" l="1"/>
  <c r="AW3" i="6"/>
  <c r="K3" i="6"/>
  <c r="J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<sst xmlns="http://schemas.openxmlformats.org/spreadsheetml/2006/main" count="729" uniqueCount="213">
  <si>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</si>
  <si>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</si>
  <si>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</si>
  <si>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</si>
  <si>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</si>
  <si>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</si>
  <si>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</si>
  <si>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</si>
  <si>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</si>
  <si>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</si>
  <si>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</si>
  <si>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</si>
  <si>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</si>
  <si>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</si>
  <si>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</si>
  <si>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</si>
  <si>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</si>
  <si>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</si>
  <si>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</si>
  <si>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</si>
  <si>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</si>
  <si>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</si>
  <si>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</si>
  <si>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</si>
  <si>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</si>
  <si>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</si>
  <si>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</si>
  <si>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</si>
  <si>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</si>
  <si>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</si>
  <si>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</si>
  <si>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</si>
  <si>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</si>
  <si>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</si>
  <si>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</si>
  <si>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</si>
  <si>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</si>
  <si>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</si>
  <si>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</si>
  <si>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</si>
  <si>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</si>
  <si>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</si>
  <si>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</si>
  <si>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</si>
  <si>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</si>
  <si>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</si>
  <si>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</si>
  <si>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</si>
  <si>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</si>
  <si>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</si>
  <si>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</si>
  <si>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</si>
  <si>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</si>
  <si>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</si>
  <si>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</si>
  <si>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</si>
  <si>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</si>
  <si>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</si>
  <si>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</si>
  <si>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</si>
  <si>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</si>
  <si>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</si>
  <si>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</si>
  <si>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</si>
  <si>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</si>
  <si>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</si>
  <si>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</si>
  <si>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</si>
  <si>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</si>
  <si>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</si>
  <si>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</si>
  <si>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</si>
  <si>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</si>
  <si>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</si>
  <si>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</si>
  <si>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</si>
  <si>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</si>
  <si>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</si>
  <si>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</si>
  <si>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</si>
  <si>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</si>
  <si>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OpOnSignalPVOC1</t>
  </si>
  <si>
    <t>OpOnSignalPVOC2</t>
  </si>
  <si>
    <t>OpOnSignalPVOC3</t>
  </si>
  <si>
    <t>OpOnSignalTTRGASLGC</t>
  </si>
  <si>
    <t>Неисправность выключателя</t>
  </si>
  <si>
    <t>Неисправность В</t>
  </si>
  <si>
    <t>Превышен ресурс выключателя</t>
  </si>
  <si>
    <t>Превышен ресурс В</t>
  </si>
  <si>
    <t>CBLifeExcess</t>
  </si>
  <si>
    <t>Срабатывание УРОВ</t>
  </si>
  <si>
    <t>Выключатель самопроизвольно отключен</t>
  </si>
  <si>
    <t>В самопр. отключен</t>
  </si>
  <si>
    <t>UnpromptedCBopening</t>
  </si>
  <si>
    <t>IRF</t>
  </si>
  <si>
    <t>Пуск (имп)</t>
  </si>
  <si>
    <t>CALH1_AlarmPulse</t>
  </si>
  <si>
    <t>CALH1_Alarm</t>
  </si>
  <si>
    <t>ПС</t>
  </si>
  <si>
    <t>SGF6</t>
  </si>
  <si>
    <t>SGF7</t>
  </si>
  <si>
    <t>SGF8</t>
  </si>
  <si>
    <t>SGF9</t>
  </si>
  <si>
    <t>SGF10</t>
  </si>
  <si>
    <t>FbVersion</t>
  </si>
  <si>
    <t>Контроль общего внешнего сигнала</t>
  </si>
  <si>
    <t>Контр_ГЗ_сигн</t>
  </si>
  <si>
    <t>Контр_ГЗ_блок</t>
  </si>
  <si>
    <t>Контр_ОТ_сигн</t>
  </si>
  <si>
    <t>Срабатывание ТО на сигнал</t>
  </si>
  <si>
    <t>Сраб.сигн ТО</t>
  </si>
  <si>
    <t>OpOnSignalLVTOC</t>
  </si>
  <si>
    <t>Срабатывание 1 ступени МТЗ на сигнал</t>
  </si>
  <si>
    <t>Сраб.сигн МТЗ 1ст.</t>
  </si>
  <si>
    <t>Срабатывание 2 ступени МТЗ на сигнал</t>
  </si>
  <si>
    <t>Сраб.сигн МТЗ 2ст.</t>
  </si>
  <si>
    <t>Срабатывание 3 ступени МТЗ на сигнал</t>
  </si>
  <si>
    <t>Сраб.сигн МТЗ 3ст.</t>
  </si>
  <si>
    <t>Срабатывание ЛО ГЗсигн на сигнал</t>
  </si>
  <si>
    <t>Сраб.сигн ЛО ГЗсигн</t>
  </si>
  <si>
    <t>Срабатывание ЛО ГЗоткл на сигнал</t>
  </si>
  <si>
    <t>Сраб.сигн ЛО ГЗоткл</t>
  </si>
  <si>
    <t>OpOnSignalALMGASLGC</t>
  </si>
  <si>
    <t>Срабатывание ЛО ГЗ РПН на сигнал</t>
  </si>
  <si>
    <t>Сраб.сигн ЛО ГЗ РПН</t>
  </si>
  <si>
    <t>OpOnSignalLTCGASLGC</t>
  </si>
  <si>
    <t>Срабатывание ЗП</t>
  </si>
  <si>
    <t>Сраб. ЗП</t>
  </si>
  <si>
    <t>OpHVPTOC1</t>
  </si>
  <si>
    <t>Срабатывание ЗОП на сигнал</t>
  </si>
  <si>
    <t>Сраб.сигн ЗОП</t>
  </si>
  <si>
    <t>OpOnSignalLVNSTOC</t>
  </si>
  <si>
    <t>Срабатывание общей логики отключения трансформатора</t>
  </si>
  <si>
    <t>Сраб. ЛО Т</t>
  </si>
  <si>
    <t>OpPTRC</t>
  </si>
  <si>
    <t>Сраб. УРОВ</t>
  </si>
  <si>
    <t>OpEx_TPBRF</t>
  </si>
  <si>
    <t>Сраб. УРОВ на себя</t>
  </si>
  <si>
    <t>OpIn_TPBRF</t>
  </si>
  <si>
    <t>FailureCB</t>
  </si>
  <si>
    <t>Сигнализация от ГЗ</t>
  </si>
  <si>
    <t>ГЗ сигн</t>
  </si>
  <si>
    <t>GASSign_ALHAPC</t>
  </si>
  <si>
    <t>Низкая изоляция ГЗ</t>
  </si>
  <si>
    <t>Низ.изол. ГЗ</t>
  </si>
  <si>
    <t>LowIsolGAS_ALHAPC</t>
  </si>
  <si>
    <t>ГЗ заблокирована</t>
  </si>
  <si>
    <t>GASBlock_ALHAPC</t>
  </si>
  <si>
    <t>Контроль оперативного тока</t>
  </si>
  <si>
    <t>ОТ сигн</t>
  </si>
  <si>
    <t>OCSign_ALHAPC</t>
  </si>
  <si>
    <t>Контроль оперативного тока НН</t>
  </si>
  <si>
    <t>ОТ НН сигн</t>
  </si>
  <si>
    <t>OCnnSign_ALHAPC</t>
  </si>
  <si>
    <t>Внешнее отключение</t>
  </si>
  <si>
    <t>Внеш. откл</t>
  </si>
  <si>
    <t>OpExt_ALHAPC</t>
  </si>
  <si>
    <t>Выходные цепи разобраны</t>
  </si>
  <si>
    <t>Вых.цепи разобраны</t>
  </si>
  <si>
    <t>CtlCir_ALHAPC</t>
  </si>
  <si>
    <t>БИ выведены</t>
  </si>
  <si>
    <t>TestBlock_ALHAPC</t>
  </si>
  <si>
    <t>Превышение времени переключения КА</t>
  </si>
  <si>
    <t>Прев. вр. пер. КА</t>
  </si>
  <si>
    <t>SwOperExcTim</t>
  </si>
  <si>
    <t>Общий внешний сигнал от СС</t>
  </si>
  <si>
    <t>Общ. внеш. сигн. СС</t>
  </si>
  <si>
    <t>ExtSignGen</t>
  </si>
  <si>
    <t>Неисправность терминала</t>
  </si>
  <si>
    <t>Пуск (импульс)</t>
  </si>
  <si>
    <t>CALH1_GASSign_Ctl</t>
  </si>
  <si>
    <t>CALH1_LowIsolGAS_Ctl</t>
  </si>
  <si>
    <t>CALH1_GASBlock_Ctl</t>
  </si>
  <si>
    <t>CALH1_OCSign_Ctl</t>
  </si>
  <si>
    <t>CALH1_OCnnSign_Ctl</t>
  </si>
  <si>
    <t>CALH1_OpExt_Ctl</t>
  </si>
  <si>
    <t>CALH1_CtlCir_Ctl</t>
  </si>
  <si>
    <t>CALH1_TestBlock_Ctl</t>
  </si>
  <si>
    <t>CALH1_SwOperExcTim_Ctl</t>
  </si>
  <si>
    <t>CALH1_ExtSignGen_Ctl</t>
  </si>
  <si>
    <t>Контроль сигнала «ГЗ сигн»</t>
  </si>
  <si>
    <t>Контроль сигнала «Низ. изол. ГЗ»</t>
  </si>
  <si>
    <t>Контр_Низ_изол_ГЗ</t>
  </si>
  <si>
    <t>Контроль сигнала «ГЗ заблокирована»</t>
  </si>
  <si>
    <t>Контроль сигнала «ОТ сигн»</t>
  </si>
  <si>
    <t>Контроль сигнала «ОТ НН сигн»</t>
  </si>
  <si>
    <t>Контр_ОТ_НН_сигн</t>
  </si>
  <si>
    <t>Контроль сигнала «Внеш. откл»</t>
  </si>
  <si>
    <t>Контр_Внеш_откл</t>
  </si>
  <si>
    <t>Контроль сигнала «Вых. цепи разобраны»</t>
  </si>
  <si>
    <t>Контр_Вых_цеп_разоб</t>
  </si>
  <si>
    <t>Контроль сигнала «БИ выведены»</t>
  </si>
  <si>
    <t>Контр_БИ_выведены</t>
  </si>
  <si>
    <t>Контроль сигнала «Прев. вр. пер. КА»</t>
  </si>
  <si>
    <t>Контр_Вр_пркл_КА</t>
  </si>
  <si>
    <t>Контр_общ_внеш_сигн</t>
  </si>
  <si>
    <t>Неисправность цепей напряжения НН1</t>
  </si>
  <si>
    <t>Неиспр. ЦН1</t>
  </si>
  <si>
    <t>AlmLVRBVTR1</t>
  </si>
  <si>
    <t>Неисправность цепей напряжения НН2</t>
  </si>
  <si>
    <t>Неиспр. ЦН2</t>
  </si>
  <si>
    <t>AlmLVRBVTR2</t>
  </si>
  <si>
    <t>control</t>
  </si>
  <si>
    <t>Срабатывание УРОВ &lt;&lt;на себя&gt;&gt;</t>
  </si>
  <si>
    <t>Logger</t>
  </si>
  <si>
    <t>Disturber</t>
  </si>
  <si>
    <t>StartDisturber</t>
  </si>
  <si>
    <t>status</t>
  </si>
  <si>
    <t>DescriptionFB</t>
  </si>
  <si>
    <t>Предупредительная сигнализация</t>
  </si>
  <si>
    <t>DescriptionFuncList</t>
  </si>
  <si>
    <t>T2_LVALH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</si>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</sst>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5" borderId="2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2" fillId="5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2"/>
  <sheetViews>
    <sheetView topLeftCell="AM1" zoomScale="80" zoomScaleNormal="80" workbookViewId="0">
      <selection activeCell="AR12" sqref="AR12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23.8554687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9" t="s">
        <v>0</v>
      </c>
      <c r="BA1" s="60"/>
      <c r="BB1" s="60"/>
      <c r="BC1" s="60"/>
      <c r="BD1" s="60"/>
      <c r="BE1" s="60"/>
      <c r="BF1" s="60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5" t="s">
        <v>204</v>
      </c>
      <c r="AW2" s="55" t="s">
        <v>205</v>
      </c>
      <c r="AX2" s="55" t="s">
        <v>206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53" t="s">
        <v>202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31">
        <v>0</v>
      </c>
      <c r="AU3" s="31">
        <v>0</v>
      </c>
      <c r="AV3" s="31">
        <f t="shared" ref="AV3" si="2">BIN2DEC(CONCATENATE(0,0,0,0,AR3,AS3,AT3,AU3))</f>
        <v>0</v>
      </c>
      <c r="AW3" s="31">
        <v>0</v>
      </c>
      <c r="AX3" s="31">
        <v>0</v>
      </c>
      <c r="AY3" s="31"/>
      <c r="AZ3" s="28"/>
      <c r="BA3" s="31"/>
      <c r="BB3" s="31"/>
      <c r="BC3" s="34"/>
      <c r="BD3" s="31"/>
      <c r="BE3" s="35"/>
      <c r="BF3" s="31"/>
      <c r="BG3" s="36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7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109</v>
      </c>
      <c r="F4" s="26" t="s">
        <v>110</v>
      </c>
      <c r="G4" s="26" t="s">
        <v>110</v>
      </c>
      <c r="H4" s="25"/>
      <c r="I4" s="25">
        <f t="shared" ref="I4:I6" si="4">LEN(F4)</f>
        <v>12</v>
      </c>
      <c r="J4" s="25" t="str">
        <f t="shared" si="1"/>
        <v>Сраб.сигн ТО</v>
      </c>
      <c r="K4" s="23" t="s">
        <v>111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5">BIN2DEC(CONCATENATE(0,0,0,0,AR4,AS4,AT4,AU4))</f>
        <v>0</v>
      </c>
      <c r="AW4" s="31">
        <v>0</v>
      </c>
      <c r="AX4" s="31">
        <v>0</v>
      </c>
      <c r="AY4" s="31"/>
      <c r="AZ4" s="28"/>
      <c r="BA4" s="31"/>
      <c r="BB4" s="31"/>
      <c r="BC4" s="34"/>
      <c r="BD4" s="31"/>
      <c r="BE4" s="35"/>
      <c r="BF4" s="31"/>
      <c r="BG4" s="36" t="str">
        <f t="shared" ref="BG4:BG6" si="6">CONCATENATE("description: """,F4,"""", ", ", "note: """,E4,"""",", ","group: """, B4, """",", ","minValue: ", S4,", ","maxValue: ", T4,", ","step: ", U4,", ","units: """, R4, """",", ","defaultValue: ", X4,", ","eventRegistration: ", Y4,)</f>
        <v>description: "Сраб.сигн ТО", note: "Срабатывание ТО на сигнал", group: "measurement", minValue: null, maxValue: null, step: null, units: "null", defaultValue: null, eventRegistration: 0</v>
      </c>
      <c r="BH4" s="37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112</v>
      </c>
      <c r="F5" s="26" t="s">
        <v>113</v>
      </c>
      <c r="G5" s="26" t="s">
        <v>113</v>
      </c>
      <c r="H5" s="25"/>
      <c r="I5" s="25">
        <f t="shared" si="4"/>
        <v>18</v>
      </c>
      <c r="J5" s="25" t="str">
        <f t="shared" si="1"/>
        <v>Сраб.сигн МТЗ 1ст.</v>
      </c>
      <c r="K5" s="23" t="s">
        <v>81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5"/>
        <v>0</v>
      </c>
      <c r="AW5" s="31">
        <v>0</v>
      </c>
      <c r="AX5" s="31">
        <v>0</v>
      </c>
      <c r="AY5" s="31"/>
      <c r="AZ5" s="28"/>
      <c r="BA5" s="31"/>
      <c r="BB5" s="31"/>
      <c r="BC5" s="34"/>
      <c r="BD5" s="31"/>
      <c r="BE5" s="35"/>
      <c r="BF5" s="31"/>
      <c r="BG5" s="36" t="str">
        <f t="shared" si="6"/>
        <v>description: "Сраб.сигн МТЗ 1ст.", note: "Срабатывание 1 ступени МТЗ на сигнал", group: "measurement", minValue: null, maxValue: null, step: null, units: "null", defaultValue: null, eventRegistration: 0</v>
      </c>
      <c r="BH5" s="37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114</v>
      </c>
      <c r="F6" s="26" t="s">
        <v>115</v>
      </c>
      <c r="G6" s="26" t="s">
        <v>115</v>
      </c>
      <c r="H6" s="25"/>
      <c r="I6" s="25">
        <f t="shared" si="4"/>
        <v>18</v>
      </c>
      <c r="J6" s="25" t="str">
        <f t="shared" si="1"/>
        <v>Сраб.сигн МТЗ 2ст.</v>
      </c>
      <c r="K6" s="23" t="s">
        <v>82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5"/>
        <v>0</v>
      </c>
      <c r="AW6" s="31">
        <v>0</v>
      </c>
      <c r="AX6" s="31">
        <v>0</v>
      </c>
      <c r="AY6" s="31"/>
      <c r="AZ6" s="28"/>
      <c r="BA6" s="31"/>
      <c r="BB6" s="31"/>
      <c r="BC6" s="34"/>
      <c r="BD6" s="31"/>
      <c r="BE6" s="35"/>
      <c r="BF6" s="31"/>
      <c r="BG6" s="36" t="str">
        <f t="shared" si="6"/>
        <v>description: "Сраб.сигн МТЗ 2ст.", note: "Срабатывание 2 ступени МТЗ на сигнал", group: "measurement", minValue: null, maxValue: null, step: null, units: "null", defaultValue: null, eventRegistration: 0</v>
      </c>
      <c r="BH6" s="37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116</v>
      </c>
      <c r="F7" s="26" t="s">
        <v>117</v>
      </c>
      <c r="G7" s="26" t="s">
        <v>117</v>
      </c>
      <c r="H7" s="25"/>
      <c r="I7" s="25">
        <f t="shared" ref="I7:I8" si="7">LEN(F7)</f>
        <v>18</v>
      </c>
      <c r="J7" s="25" t="str">
        <f t="shared" si="1"/>
        <v>Сраб.сигн МТЗ 3ст.</v>
      </c>
      <c r="K7" s="23" t="s">
        <v>83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8">BIN2DEC(CONCATENATE(0,0,0,0,AR7,AS7,AT7,AU7))</f>
        <v>0</v>
      </c>
      <c r="AW7" s="31">
        <v>0</v>
      </c>
      <c r="AX7" s="31">
        <v>0</v>
      </c>
      <c r="AY7" s="31"/>
      <c r="AZ7" s="28"/>
      <c r="BA7" s="31"/>
      <c r="BB7" s="31"/>
      <c r="BC7" s="34"/>
      <c r="BD7" s="31"/>
      <c r="BE7" s="35"/>
      <c r="BF7" s="31"/>
      <c r="BG7" s="36" t="str">
        <f t="shared" ref="BG7:BG8" si="9">CONCATENATE("description: """,F7,"""", ", ", "note: """,E7,"""",", ","group: """, B7, """",", ","minValue: ", S7,", ","maxValue: ", T7,", ","step: ", U7,", ","units: """, R7, """",", ","defaultValue: ", X7,", ","eventRegistration: ", Y7,)</f>
        <v>description: "Сраб.сигн МТЗ 3ст.", note: "Срабатывание 3 ступени МТЗ на сигнал", group: "measurement", minValue: null, maxValue: null, step: null, units: "null", defaultValue: null, eventRegistration: 0</v>
      </c>
      <c r="BH7" s="37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118</v>
      </c>
      <c r="F8" s="26" t="s">
        <v>119</v>
      </c>
      <c r="G8" s="26" t="s">
        <v>119</v>
      </c>
      <c r="H8" s="25"/>
      <c r="I8" s="25">
        <f t="shared" si="7"/>
        <v>19</v>
      </c>
      <c r="J8" s="25" t="str">
        <f t="shared" si="1"/>
        <v>Сраб.сигн ЛО ГЗсигн</v>
      </c>
      <c r="K8" s="23" t="s">
        <v>84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8"/>
        <v>0</v>
      </c>
      <c r="AW8" s="31">
        <v>0</v>
      </c>
      <c r="AX8" s="31">
        <v>0</v>
      </c>
      <c r="AY8" s="31"/>
      <c r="AZ8" s="28"/>
      <c r="BA8" s="31"/>
      <c r="BB8" s="31"/>
      <c r="BC8" s="34"/>
      <c r="BD8" s="31"/>
      <c r="BE8" s="35"/>
      <c r="BF8" s="31"/>
      <c r="BG8" s="36" t="str">
        <f t="shared" si="9"/>
        <v>description: "Сраб.сигн ЛО ГЗсигн", note: "Срабатывание ЛО ГЗсигн на сигнал", group: "measurement", minValue: null, maxValue: null, step: null, units: "null", defaultValue: null, eventRegistration: 0</v>
      </c>
      <c r="BH8" s="37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120</v>
      </c>
      <c r="F9" s="26" t="s">
        <v>121</v>
      </c>
      <c r="G9" s="26" t="s">
        <v>121</v>
      </c>
      <c r="H9" s="25"/>
      <c r="I9" s="25">
        <f t="shared" ref="I9:I31" si="10">LEN(F9)</f>
        <v>19</v>
      </c>
      <c r="J9" s="25" t="str">
        <f t="shared" ref="J9:J31" si="11">IF(LEN(F9)&lt;=$J$1,F9,"")</f>
        <v>Сраб.сигн ЛО ГЗоткл</v>
      </c>
      <c r="K9" s="23" t="s">
        <v>122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1" si="12">BIN2DEC(CONCATENATE(0,0,0,0,AR9,AS9,AT9,AU9))</f>
        <v>0</v>
      </c>
      <c r="AW9" s="31">
        <v>0</v>
      </c>
      <c r="AX9" s="31">
        <v>0</v>
      </c>
      <c r="AY9" s="31"/>
      <c r="AZ9" s="28"/>
      <c r="BA9" s="31"/>
      <c r="BB9" s="31"/>
      <c r="BC9" s="34"/>
      <c r="BD9" s="31"/>
      <c r="BE9" s="35"/>
      <c r="BF9" s="31"/>
      <c r="BG9" s="36" t="str">
        <f t="shared" ref="BG9:BG31" si="13">CONCATENATE("description: """,F9,"""", ", ", "note: """,E9,"""",", ","group: """, B9, """",", ","minValue: ", S9,", ","maxValue: ", T9,", ","step: ", U9,", ","units: """, R9, """",", ","defaultValue: ", X9,", ","eventRegistration: ", Y9,)</f>
        <v>description: "Сраб.сигн ЛО ГЗоткл", note: "Срабатывание ЛО ГЗоткл на сигнал", group: "measurement", minValue: null, maxValue: null, step: null, units: "null", defaultValue: null, eventRegistration: 0</v>
      </c>
      <c r="BH9" s="37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123</v>
      </c>
      <c r="F10" s="26" t="s">
        <v>124</v>
      </c>
      <c r="G10" s="26" t="s">
        <v>124</v>
      </c>
      <c r="H10" s="25"/>
      <c r="I10" s="25">
        <f t="shared" si="10"/>
        <v>19</v>
      </c>
      <c r="J10" s="25" t="str">
        <f t="shared" si="11"/>
        <v>Сраб.сигн ЛО ГЗ РПН</v>
      </c>
      <c r="K10" s="23" t="s">
        <v>125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2"/>
        <v>0</v>
      </c>
      <c r="AW10" s="31">
        <v>0</v>
      </c>
      <c r="AX10" s="31">
        <v>0</v>
      </c>
      <c r="AY10" s="31"/>
      <c r="AZ10" s="28"/>
      <c r="BA10" s="31"/>
      <c r="BB10" s="31"/>
      <c r="BC10" s="34"/>
      <c r="BD10" s="31"/>
      <c r="BE10" s="35"/>
      <c r="BF10" s="31"/>
      <c r="BG10" s="36" t="str">
        <f t="shared" si="13"/>
        <v>description: "Сраб.сигн ЛО ГЗ РПН", note: "Срабатывание ЛО ГЗ РПН на сигнал", group: "measurement", minValue: null, maxValue: null, step: null, units: "null", defaultValue: null, eventRegistration: 0</v>
      </c>
      <c r="BH10" s="37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126</v>
      </c>
      <c r="F11" s="26" t="s">
        <v>127</v>
      </c>
      <c r="G11" s="26" t="s">
        <v>127</v>
      </c>
      <c r="H11" s="25"/>
      <c r="I11" s="25">
        <f t="shared" si="10"/>
        <v>8</v>
      </c>
      <c r="J11" s="25" t="str">
        <f t="shared" si="11"/>
        <v>Сраб. ЗП</v>
      </c>
      <c r="K11" s="23" t="s">
        <v>128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2"/>
        <v>0</v>
      </c>
      <c r="AW11" s="31">
        <v>0</v>
      </c>
      <c r="AX11" s="31">
        <v>0</v>
      </c>
      <c r="AY11" s="31"/>
      <c r="AZ11" s="28"/>
      <c r="BA11" s="31"/>
      <c r="BB11" s="31"/>
      <c r="BC11" s="34"/>
      <c r="BD11" s="31"/>
      <c r="BE11" s="35"/>
      <c r="BF11" s="31"/>
      <c r="BG11" s="36" t="str">
        <f t="shared" si="13"/>
        <v>description: "Сраб. ЗП", note: "Срабатывание ЗП", group: "measurement", minValue: null, maxValue: null, step: null, units: "null", defaultValue: null, eventRegistration: 0</v>
      </c>
      <c r="BH11" s="37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129</v>
      </c>
      <c r="F12" s="26" t="s">
        <v>130</v>
      </c>
      <c r="G12" s="26" t="s">
        <v>130</v>
      </c>
      <c r="H12" s="25"/>
      <c r="I12" s="25">
        <f t="shared" si="10"/>
        <v>13</v>
      </c>
      <c r="J12" s="25" t="str">
        <f t="shared" si="11"/>
        <v>Сраб.сигн ЗОП</v>
      </c>
      <c r="K12" s="23" t="s">
        <v>131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2"/>
        <v>0</v>
      </c>
      <c r="AW12" s="31">
        <v>0</v>
      </c>
      <c r="AX12" s="31">
        <v>0</v>
      </c>
      <c r="AY12" s="31"/>
      <c r="AZ12" s="28"/>
      <c r="BA12" s="31"/>
      <c r="BB12" s="31"/>
      <c r="BC12" s="34"/>
      <c r="BD12" s="31"/>
      <c r="BE12" s="35"/>
      <c r="BF12" s="31"/>
      <c r="BG12" s="36" t="str">
        <f t="shared" si="13"/>
        <v>description: "Сраб.сигн ЗОП", note: "Срабатывание ЗОП на сигнал", group: "measurement", minValue: null, maxValue: null, step: null, units: "null", defaultValue: null, eventRegistration: 0</v>
      </c>
      <c r="BH12" s="37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196</v>
      </c>
      <c r="F13" s="26" t="s">
        <v>197</v>
      </c>
      <c r="G13" s="26" t="s">
        <v>197</v>
      </c>
      <c r="H13" s="25"/>
      <c r="I13" s="25">
        <f t="shared" si="10"/>
        <v>11</v>
      </c>
      <c r="J13" s="25" t="str">
        <f t="shared" si="11"/>
        <v>Неиспр. ЦН1</v>
      </c>
      <c r="K13" s="23" t="s">
        <v>198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2"/>
        <v>0</v>
      </c>
      <c r="AW13" s="31">
        <v>0</v>
      </c>
      <c r="AX13" s="31">
        <v>0</v>
      </c>
      <c r="AY13" s="31"/>
      <c r="AZ13" s="28"/>
      <c r="BA13" s="31"/>
      <c r="BB13" s="31"/>
      <c r="BC13" s="34"/>
      <c r="BD13" s="31"/>
      <c r="BE13" s="35"/>
      <c r="BF13" s="31"/>
      <c r="BG13" s="36" t="str">
        <f t="shared" si="13"/>
        <v>description: "Неиспр. ЦН1", note: "Неисправность цепей напряжения НН1", group: "measurement", minValue: null, maxValue: null, step: null, units: "null", defaultValue: null, eventRegistration: 0</v>
      </c>
      <c r="BH13" s="37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199</v>
      </c>
      <c r="F14" s="26" t="s">
        <v>200</v>
      </c>
      <c r="G14" s="26" t="s">
        <v>200</v>
      </c>
      <c r="H14" s="25"/>
      <c r="I14" s="25">
        <f t="shared" si="10"/>
        <v>11</v>
      </c>
      <c r="J14" s="25" t="str">
        <f t="shared" si="11"/>
        <v>Неиспр. ЦН2</v>
      </c>
      <c r="K14" s="23" t="s">
        <v>201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2"/>
        <v>0</v>
      </c>
      <c r="AW14" s="31">
        <v>0</v>
      </c>
      <c r="AX14" s="31">
        <v>0</v>
      </c>
      <c r="AY14" s="31"/>
      <c r="AZ14" s="28"/>
      <c r="BA14" s="31"/>
      <c r="BB14" s="31"/>
      <c r="BC14" s="34"/>
      <c r="BD14" s="31"/>
      <c r="BE14" s="35"/>
      <c r="BF14" s="31"/>
      <c r="BG14" s="36" t="str">
        <f t="shared" si="13"/>
        <v>description: "Неиспр. ЦН2", note: "Неисправность цепей напряжения НН2", group: "measurement", minValue: null, maxValue: null, step: null, units: "null", defaultValue: null, eventRegistration: 0</v>
      </c>
      <c r="BH14" s="37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132</v>
      </c>
      <c r="F15" s="26" t="s">
        <v>133</v>
      </c>
      <c r="G15" s="26" t="s">
        <v>133</v>
      </c>
      <c r="H15" s="25"/>
      <c r="I15" s="25">
        <f t="shared" si="10"/>
        <v>10</v>
      </c>
      <c r="J15" s="25" t="str">
        <f t="shared" si="11"/>
        <v>Сраб. ЛО Т</v>
      </c>
      <c r="K15" s="23" t="s">
        <v>134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2"/>
        <v>0</v>
      </c>
      <c r="AW15" s="31">
        <v>0</v>
      </c>
      <c r="AX15" s="31">
        <v>0</v>
      </c>
      <c r="AY15" s="31"/>
      <c r="AZ15" s="28"/>
      <c r="BA15" s="31"/>
      <c r="BB15" s="31"/>
      <c r="BC15" s="34"/>
      <c r="BD15" s="31"/>
      <c r="BE15" s="35"/>
      <c r="BF15" s="31"/>
      <c r="BG15" s="36" t="str">
        <f t="shared" si="13"/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15" s="37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90</v>
      </c>
      <c r="F16" s="26" t="s">
        <v>135</v>
      </c>
      <c r="G16" s="26" t="s">
        <v>135</v>
      </c>
      <c r="H16" s="25"/>
      <c r="I16" s="25">
        <f t="shared" si="10"/>
        <v>10</v>
      </c>
      <c r="J16" s="25" t="str">
        <f t="shared" si="11"/>
        <v>Сраб. УРОВ</v>
      </c>
      <c r="K16" s="23" t="s">
        <v>136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2"/>
        <v>0</v>
      </c>
      <c r="AW16" s="31">
        <v>0</v>
      </c>
      <c r="AX16" s="31">
        <v>0</v>
      </c>
      <c r="AY16" s="31"/>
      <c r="AZ16" s="28"/>
      <c r="BA16" s="31"/>
      <c r="BB16" s="31"/>
      <c r="BC16" s="34"/>
      <c r="BD16" s="31"/>
      <c r="BE16" s="35"/>
      <c r="BF16" s="31"/>
      <c r="BG16" s="36" t="str">
        <f t="shared" si="13"/>
        <v>description: "Сраб. УРОВ", note: "Срабатывание УРОВ", group: "measurement", minValue: null, maxValue: null, step: null, units: "null", defaultValue: null, eventRegistration: 0</v>
      </c>
      <c r="BH16" s="37"/>
    </row>
    <row r="17" spans="1:60" s="1" customFormat="1" ht="16.5" customHeight="1" x14ac:dyDescent="0.25">
      <c r="A17" s="23"/>
      <c r="B17" s="23" t="s">
        <v>50</v>
      </c>
      <c r="C17" s="24"/>
      <c r="D17" s="2"/>
      <c r="E17" s="54" t="s">
        <v>203</v>
      </c>
      <c r="F17" s="26" t="s">
        <v>137</v>
      </c>
      <c r="G17" s="26" t="s">
        <v>137</v>
      </c>
      <c r="H17" s="25"/>
      <c r="I17" s="25">
        <f t="shared" si="10"/>
        <v>18</v>
      </c>
      <c r="J17" s="25" t="str">
        <f t="shared" si="11"/>
        <v>Сраб. УРОВ на себя</v>
      </c>
      <c r="K17" s="23" t="s">
        <v>138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2"/>
        <v>0</v>
      </c>
      <c r="AW17" s="31">
        <v>0</v>
      </c>
      <c r="AX17" s="31">
        <v>0</v>
      </c>
      <c r="AY17" s="31"/>
      <c r="AZ17" s="28"/>
      <c r="BA17" s="31"/>
      <c r="BB17" s="31"/>
      <c r="BC17" s="34"/>
      <c r="BD17" s="31"/>
      <c r="BE17" s="35"/>
      <c r="BF17" s="31"/>
      <c r="BG17" s="36" t="str">
        <f t="shared" si="13"/>
        <v>description: "Сраб. УРОВ на себя", note: "Срабатывание УРОВ &lt;&lt;на себя&gt;&gt;", group: "measurement", minValue: null, maxValue: null, step: null, units: "null", defaultValue: null, eventRegistration: 0</v>
      </c>
      <c r="BH17" s="37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87</v>
      </c>
      <c r="F18" s="26" t="s">
        <v>88</v>
      </c>
      <c r="G18" s="26" t="s">
        <v>88</v>
      </c>
      <c r="H18" s="25"/>
      <c r="I18" s="25">
        <f t="shared" si="10"/>
        <v>17</v>
      </c>
      <c r="J18" s="25" t="str">
        <f t="shared" si="11"/>
        <v>Превышен ресурс В</v>
      </c>
      <c r="K18" s="23" t="s">
        <v>89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2"/>
        <v>0</v>
      </c>
      <c r="AW18" s="31">
        <v>0</v>
      </c>
      <c r="AX18" s="31">
        <v>0</v>
      </c>
      <c r="AY18" s="31"/>
      <c r="AZ18" s="28"/>
      <c r="BA18" s="31"/>
      <c r="BB18" s="31"/>
      <c r="BC18" s="34"/>
      <c r="BD18" s="31"/>
      <c r="BE18" s="35"/>
      <c r="BF18" s="31"/>
      <c r="BG18" s="36" t="str">
        <f t="shared" si="13"/>
        <v>description: "Превышен ресурс В", note: "Превышен ресурс выключателя", group: "measurement", minValue: null, maxValue: null, step: null, units: "null", defaultValue: null, eventRegistration: 0</v>
      </c>
      <c r="BH18" s="37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85</v>
      </c>
      <c r="F19" s="26" t="s">
        <v>86</v>
      </c>
      <c r="G19" s="26" t="s">
        <v>86</v>
      </c>
      <c r="H19" s="25"/>
      <c r="I19" s="25">
        <f t="shared" si="10"/>
        <v>15</v>
      </c>
      <c r="J19" s="25" t="str">
        <f t="shared" si="11"/>
        <v>Неисправность В</v>
      </c>
      <c r="K19" s="23" t="s">
        <v>139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2"/>
        <v>0</v>
      </c>
      <c r="AW19" s="31">
        <v>0</v>
      </c>
      <c r="AX19" s="31">
        <v>0</v>
      </c>
      <c r="AY19" s="31"/>
      <c r="AZ19" s="28"/>
      <c r="BA19" s="31"/>
      <c r="BB19" s="31"/>
      <c r="BC19" s="34"/>
      <c r="BD19" s="31"/>
      <c r="BE19" s="35"/>
      <c r="BF19" s="31"/>
      <c r="BG19" s="36" t="str">
        <f t="shared" si="13"/>
        <v>description: "Неисправность В", note: "Неисправность выключателя", group: "measurement", minValue: null, maxValue: null, step: null, units: "null", defaultValue: null, eventRegistration: 0</v>
      </c>
      <c r="BH19" s="37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91</v>
      </c>
      <c r="F20" s="26" t="s">
        <v>92</v>
      </c>
      <c r="G20" s="26" t="s">
        <v>92</v>
      </c>
      <c r="H20" s="25"/>
      <c r="I20" s="25">
        <f t="shared" si="10"/>
        <v>18</v>
      </c>
      <c r="J20" s="25" t="str">
        <f t="shared" si="11"/>
        <v>В самопр. отключен</v>
      </c>
      <c r="K20" s="23" t="s">
        <v>93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2"/>
        <v>0</v>
      </c>
      <c r="AW20" s="31">
        <v>0</v>
      </c>
      <c r="AX20" s="31">
        <v>0</v>
      </c>
      <c r="AY20" s="31"/>
      <c r="AZ20" s="28"/>
      <c r="BA20" s="31"/>
      <c r="BB20" s="31"/>
      <c r="BC20" s="34"/>
      <c r="BD20" s="31"/>
      <c r="BE20" s="35"/>
      <c r="BF20" s="31"/>
      <c r="BG20" s="36" t="str">
        <f t="shared" si="13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0" s="37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140</v>
      </c>
      <c r="F21" s="26" t="s">
        <v>141</v>
      </c>
      <c r="G21" s="26" t="s">
        <v>141</v>
      </c>
      <c r="H21" s="25"/>
      <c r="I21" s="25">
        <f t="shared" si="10"/>
        <v>7</v>
      </c>
      <c r="J21" s="25" t="str">
        <f t="shared" si="11"/>
        <v>ГЗ сигн</v>
      </c>
      <c r="K21" s="23" t="s">
        <v>142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2"/>
        <v>0</v>
      </c>
      <c r="AW21" s="31">
        <v>0</v>
      </c>
      <c r="AX21" s="31">
        <v>0</v>
      </c>
      <c r="AY21" s="31"/>
      <c r="AZ21" s="28"/>
      <c r="BA21" s="31"/>
      <c r="BB21" s="31"/>
      <c r="BC21" s="34"/>
      <c r="BD21" s="31"/>
      <c r="BE21" s="35"/>
      <c r="BF21" s="31"/>
      <c r="BG21" s="36" t="str">
        <f t="shared" si="13"/>
        <v>description: "ГЗ сигн", note: "Сигнализация от ГЗ", group: "measurement", minValue: null, maxValue: null, step: null, units: "null", defaultValue: null, eventRegistration: 0</v>
      </c>
      <c r="BH21" s="37"/>
    </row>
    <row r="22" spans="1:60" s="1" customFormat="1" ht="16.5" customHeight="1" x14ac:dyDescent="0.25">
      <c r="A22" s="23"/>
      <c r="B22" s="23" t="s">
        <v>50</v>
      </c>
      <c r="C22" s="24"/>
      <c r="D22" s="2"/>
      <c r="E22" s="25" t="s">
        <v>143</v>
      </c>
      <c r="F22" s="26" t="s">
        <v>144</v>
      </c>
      <c r="G22" s="26" t="s">
        <v>144</v>
      </c>
      <c r="H22" s="25"/>
      <c r="I22" s="25">
        <f t="shared" si="10"/>
        <v>12</v>
      </c>
      <c r="J22" s="25" t="str">
        <f t="shared" si="11"/>
        <v>Низ.изол. ГЗ</v>
      </c>
      <c r="K22" s="23" t="s">
        <v>145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2"/>
        <v>0</v>
      </c>
      <c r="AW22" s="31">
        <v>0</v>
      </c>
      <c r="AX22" s="31">
        <v>0</v>
      </c>
      <c r="AY22" s="31"/>
      <c r="AZ22" s="28"/>
      <c r="BA22" s="31"/>
      <c r="BB22" s="31"/>
      <c r="BC22" s="34"/>
      <c r="BD22" s="31"/>
      <c r="BE22" s="35"/>
      <c r="BF22" s="31"/>
      <c r="BG22" s="36" t="str">
        <f t="shared" si="13"/>
        <v>description: "Низ.изол. ГЗ", note: "Низкая изоляция ГЗ", group: "measurement", minValue: null, maxValue: null, step: null, units: "null", defaultValue: null, eventRegistration: 0</v>
      </c>
      <c r="BH22" s="37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146</v>
      </c>
      <c r="F23" s="26" t="s">
        <v>146</v>
      </c>
      <c r="G23" s="26" t="s">
        <v>146</v>
      </c>
      <c r="H23" s="25"/>
      <c r="I23" s="25">
        <f t="shared" si="10"/>
        <v>16</v>
      </c>
      <c r="J23" s="25" t="str">
        <f t="shared" si="11"/>
        <v>ГЗ заблокирована</v>
      </c>
      <c r="K23" s="23" t="s">
        <v>147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2"/>
        <v>0</v>
      </c>
      <c r="AW23" s="31">
        <v>0</v>
      </c>
      <c r="AX23" s="31">
        <v>0</v>
      </c>
      <c r="AY23" s="31"/>
      <c r="AZ23" s="28"/>
      <c r="BA23" s="31"/>
      <c r="BB23" s="31"/>
      <c r="BC23" s="34"/>
      <c r="BD23" s="31"/>
      <c r="BE23" s="35"/>
      <c r="BF23" s="31"/>
      <c r="BG23" s="36" t="str">
        <f t="shared" si="13"/>
        <v>description: "ГЗ заблокирована", note: "ГЗ заблокирована", group: "measurement", minValue: null, maxValue: null, step: null, units: "null", defaultValue: null, eventRegistration: 0</v>
      </c>
      <c r="BH23" s="37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148</v>
      </c>
      <c r="F24" s="26" t="s">
        <v>149</v>
      </c>
      <c r="G24" s="26" t="s">
        <v>149</v>
      </c>
      <c r="H24" s="25"/>
      <c r="I24" s="25">
        <f t="shared" si="10"/>
        <v>7</v>
      </c>
      <c r="J24" s="25" t="str">
        <f t="shared" si="11"/>
        <v>ОТ сигн</v>
      </c>
      <c r="K24" s="23" t="s">
        <v>150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2"/>
        <v>0</v>
      </c>
      <c r="AW24" s="31">
        <v>0</v>
      </c>
      <c r="AX24" s="31">
        <v>0</v>
      </c>
      <c r="AY24" s="31"/>
      <c r="AZ24" s="28"/>
      <c r="BA24" s="31"/>
      <c r="BB24" s="31"/>
      <c r="BC24" s="34"/>
      <c r="BD24" s="31"/>
      <c r="BE24" s="35"/>
      <c r="BF24" s="31"/>
      <c r="BG24" s="36" t="str">
        <f t="shared" si="13"/>
        <v>description: "ОТ сигн", note: "Контроль оперативного тока", group: "measurement", minValue: null, maxValue: null, step: null, units: "null", defaultValue: null, eventRegistration: 0</v>
      </c>
      <c r="BH24" s="37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151</v>
      </c>
      <c r="F25" s="26" t="s">
        <v>152</v>
      </c>
      <c r="G25" s="26" t="s">
        <v>152</v>
      </c>
      <c r="H25" s="25"/>
      <c r="I25" s="25">
        <f t="shared" si="10"/>
        <v>10</v>
      </c>
      <c r="J25" s="25" t="str">
        <f t="shared" si="11"/>
        <v>ОТ НН сигн</v>
      </c>
      <c r="K25" s="23" t="s">
        <v>153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2"/>
        <v>0</v>
      </c>
      <c r="AW25" s="31">
        <v>0</v>
      </c>
      <c r="AX25" s="31">
        <v>0</v>
      </c>
      <c r="AY25" s="31"/>
      <c r="AZ25" s="28"/>
      <c r="BA25" s="31"/>
      <c r="BB25" s="31"/>
      <c r="BC25" s="34"/>
      <c r="BD25" s="31"/>
      <c r="BE25" s="35"/>
      <c r="BF25" s="31"/>
      <c r="BG25" s="36" t="str">
        <f t="shared" si="13"/>
        <v>description: "ОТ НН сигн", note: "Контроль оперативного тока НН", group: "measurement", minValue: null, maxValue: null, step: null, units: "null", defaultValue: null, eventRegistration: 0</v>
      </c>
      <c r="BH25" s="37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154</v>
      </c>
      <c r="F26" s="26" t="s">
        <v>155</v>
      </c>
      <c r="G26" s="26" t="s">
        <v>155</v>
      </c>
      <c r="H26" s="25"/>
      <c r="I26" s="25">
        <f t="shared" si="10"/>
        <v>10</v>
      </c>
      <c r="J26" s="25" t="str">
        <f t="shared" si="11"/>
        <v>Внеш. откл</v>
      </c>
      <c r="K26" s="23" t="s">
        <v>156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2"/>
        <v>0</v>
      </c>
      <c r="AW26" s="31">
        <v>0</v>
      </c>
      <c r="AX26" s="31">
        <v>0</v>
      </c>
      <c r="AY26" s="31"/>
      <c r="AZ26" s="28"/>
      <c r="BA26" s="31"/>
      <c r="BB26" s="31"/>
      <c r="BC26" s="34"/>
      <c r="BD26" s="31"/>
      <c r="BE26" s="35"/>
      <c r="BF26" s="31"/>
      <c r="BG26" s="36" t="str">
        <f t="shared" si="13"/>
        <v>description: "Внеш. откл", note: "Внешнее отключение", group: "measurement", minValue: null, maxValue: null, step: null, units: "null", defaultValue: null, eventRegistration: 0</v>
      </c>
      <c r="BH26" s="37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157</v>
      </c>
      <c r="F27" s="26" t="s">
        <v>158</v>
      </c>
      <c r="G27" s="26" t="s">
        <v>158</v>
      </c>
      <c r="H27" s="25"/>
      <c r="I27" s="25">
        <f t="shared" si="10"/>
        <v>18</v>
      </c>
      <c r="J27" s="25" t="str">
        <f t="shared" si="11"/>
        <v>Вых.цепи разобраны</v>
      </c>
      <c r="K27" s="23" t="s">
        <v>159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2"/>
        <v>0</v>
      </c>
      <c r="AW27" s="31">
        <v>0</v>
      </c>
      <c r="AX27" s="31">
        <v>0</v>
      </c>
      <c r="AY27" s="31"/>
      <c r="AZ27" s="28"/>
      <c r="BA27" s="31"/>
      <c r="BB27" s="31"/>
      <c r="BC27" s="34"/>
      <c r="BD27" s="31"/>
      <c r="BE27" s="35"/>
      <c r="BF27" s="31"/>
      <c r="BG27" s="36" t="str">
        <f t="shared" si="13"/>
        <v>description: "Вых.цепи разобраны", note: "Выходные цепи разобраны", group: "measurement", minValue: null, maxValue: null, step: null, units: "null", defaultValue: null, eventRegistration: 0</v>
      </c>
      <c r="BH27" s="37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160</v>
      </c>
      <c r="F28" s="26" t="s">
        <v>160</v>
      </c>
      <c r="G28" s="26" t="s">
        <v>160</v>
      </c>
      <c r="H28" s="25"/>
      <c r="I28" s="25">
        <f t="shared" si="10"/>
        <v>11</v>
      </c>
      <c r="J28" s="25" t="str">
        <f t="shared" si="11"/>
        <v>БИ выведены</v>
      </c>
      <c r="K28" s="23" t="s">
        <v>161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2"/>
        <v>0</v>
      </c>
      <c r="AW28" s="31">
        <v>0</v>
      </c>
      <c r="AX28" s="31">
        <v>0</v>
      </c>
      <c r="AY28" s="31"/>
      <c r="AZ28" s="28"/>
      <c r="BA28" s="31"/>
      <c r="BB28" s="31"/>
      <c r="BC28" s="34"/>
      <c r="BD28" s="31"/>
      <c r="BE28" s="35"/>
      <c r="BF28" s="31"/>
      <c r="BG28" s="36" t="str">
        <f t="shared" si="13"/>
        <v>description: "БИ выведены", note: "БИ выведены", group: "measurement", minValue: null, maxValue: null, step: null, units: "null", defaultValue: null, eventRegistration: 0</v>
      </c>
      <c r="BH28" s="37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162</v>
      </c>
      <c r="F29" s="26" t="s">
        <v>163</v>
      </c>
      <c r="G29" s="26" t="s">
        <v>163</v>
      </c>
      <c r="H29" s="25"/>
      <c r="I29" s="25">
        <f t="shared" si="10"/>
        <v>17</v>
      </c>
      <c r="J29" s="25" t="str">
        <f t="shared" si="11"/>
        <v>Прев. вр. пер. КА</v>
      </c>
      <c r="K29" s="23" t="s">
        <v>164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2"/>
        <v>0</v>
      </c>
      <c r="AW29" s="31">
        <v>0</v>
      </c>
      <c r="AX29" s="31">
        <v>0</v>
      </c>
      <c r="AY29" s="31"/>
      <c r="AZ29" s="28"/>
      <c r="BA29" s="31"/>
      <c r="BB29" s="31"/>
      <c r="BC29" s="34"/>
      <c r="BD29" s="31"/>
      <c r="BE29" s="35"/>
      <c r="BF29" s="31"/>
      <c r="BG29" s="36" t="str">
        <f t="shared" si="13"/>
        <v>description: "Прев. вр. пер. КА", note: "Превышение времени переключения КА", group: "measurement", minValue: null, maxValue: null, step: null, units: "null", defaultValue: null, eventRegistration: 0</v>
      </c>
      <c r="BH29" s="37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165</v>
      </c>
      <c r="F30" s="26" t="s">
        <v>166</v>
      </c>
      <c r="G30" s="26" t="s">
        <v>166</v>
      </c>
      <c r="H30" s="25"/>
      <c r="I30" s="25">
        <f t="shared" si="10"/>
        <v>19</v>
      </c>
      <c r="J30" s="25" t="str">
        <f t="shared" si="11"/>
        <v>Общ. внеш. сигн. СС</v>
      </c>
      <c r="K30" s="23" t="s">
        <v>167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2"/>
        <v>0</v>
      </c>
      <c r="AW30" s="31">
        <v>0</v>
      </c>
      <c r="AX30" s="31">
        <v>0</v>
      </c>
      <c r="AY30" s="31"/>
      <c r="AZ30" s="28"/>
      <c r="BA30" s="31"/>
      <c r="BB30" s="31"/>
      <c r="BC30" s="34"/>
      <c r="BD30" s="31"/>
      <c r="BE30" s="35"/>
      <c r="BF30" s="31"/>
      <c r="BG30" s="36" t="str">
        <f t="shared" si="13"/>
        <v>description: "Общ. внеш. сигн. СС", note: "Общий внешний сигнал от СС", group: "measurement", minValue: null, maxValue: null, step: null, units: "null", defaultValue: null, eventRegistration: 0</v>
      </c>
      <c r="BH30" s="37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168</v>
      </c>
      <c r="F31" s="26" t="s">
        <v>94</v>
      </c>
      <c r="G31" s="26" t="s">
        <v>94</v>
      </c>
      <c r="H31" s="25"/>
      <c r="I31" s="25">
        <f t="shared" si="10"/>
        <v>3</v>
      </c>
      <c r="J31" s="25" t="str">
        <f t="shared" si="11"/>
        <v>IRF</v>
      </c>
      <c r="K31" s="23" t="s">
        <v>94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2"/>
        <v>0</v>
      </c>
      <c r="AW31" s="31">
        <v>0</v>
      </c>
      <c r="AX31" s="31">
        <v>0</v>
      </c>
      <c r="AY31" s="31"/>
      <c r="AZ31" s="28"/>
      <c r="BA31" s="31"/>
      <c r="BB31" s="31"/>
      <c r="BC31" s="34"/>
      <c r="BD31" s="31"/>
      <c r="BE31" s="35"/>
      <c r="BF31" s="31"/>
      <c r="BG31" s="36" t="str">
        <f t="shared" si="13"/>
        <v>description: "IRF", note: "Неисправность терминала", group: "measurement", minValue: null, maxValue: null, step: null, units: "null", defaultValue: null, eventRegistration: 0</v>
      </c>
      <c r="BH31" s="37"/>
    </row>
    <row r="32" spans="1:60" s="7" customFormat="1" ht="15.75" x14ac:dyDescent="0.25">
      <c r="A32" s="6"/>
      <c r="B32" s="6"/>
      <c r="C32" s="6"/>
      <c r="D32" s="6"/>
      <c r="R32" s="8"/>
      <c r="S32" s="9"/>
      <c r="T32" s="9"/>
      <c r="U32" s="9"/>
      <c r="V32" s="9"/>
      <c r="W32" s="9"/>
      <c r="X32" s="9"/>
      <c r="Y32" s="9"/>
      <c r="Z32" s="6"/>
      <c r="AA32" s="9"/>
      <c r="AB32" s="9"/>
      <c r="AC32" s="9"/>
      <c r="AD32" s="9"/>
      <c r="AE32" s="9"/>
      <c r="AF32" s="9"/>
      <c r="AG32" s="9"/>
      <c r="AH32" s="6"/>
      <c r="AI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46"/>
      <c r="BC32" s="9"/>
      <c r="BD32" s="46"/>
      <c r="BE32" s="9"/>
      <c r="BF32" s="9"/>
      <c r="BG32" s="6"/>
      <c r="BH32" s="6"/>
    </row>
    <row r="33" spans="1:60" s="7" customFormat="1" ht="15.75" x14ac:dyDescent="0.25">
      <c r="A33" s="6"/>
      <c r="B33" s="6"/>
      <c r="C33" s="6"/>
      <c r="D33" s="6"/>
      <c r="R33" s="8"/>
      <c r="S33" s="9"/>
      <c r="T33" s="9"/>
      <c r="U33" s="9"/>
      <c r="V33" s="9"/>
      <c r="W33" s="9"/>
      <c r="X33" s="9"/>
      <c r="Y33" s="9"/>
      <c r="Z33" s="6"/>
      <c r="AA33" s="9"/>
      <c r="AB33" s="9"/>
      <c r="AC33" s="9"/>
      <c r="AD33" s="9"/>
      <c r="AE33" s="9"/>
      <c r="AF33" s="9"/>
      <c r="AG33" s="9"/>
      <c r="AH33" s="6"/>
      <c r="AI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6"/>
      <c r="BC33" s="9"/>
      <c r="BD33" s="46"/>
      <c r="BE33" s="9"/>
      <c r="BF33" s="9"/>
      <c r="BG33" s="6"/>
      <c r="BH33" s="6"/>
    </row>
    <row r="34" spans="1:60" s="7" customFormat="1" ht="15.75" x14ac:dyDescent="0.25">
      <c r="A34" s="6"/>
      <c r="B34" s="6"/>
      <c r="C34" s="6"/>
      <c r="D34" s="6"/>
      <c r="R34" s="8"/>
      <c r="S34" s="9"/>
      <c r="T34" s="9"/>
      <c r="U34" s="9"/>
      <c r="V34" s="9"/>
      <c r="W34" s="9"/>
      <c r="X34" s="9"/>
      <c r="Y34" s="9"/>
      <c r="Z34" s="6"/>
      <c r="AA34" s="9"/>
      <c r="AB34" s="9"/>
      <c r="AC34" s="9"/>
      <c r="AD34" s="9"/>
      <c r="AE34" s="9"/>
      <c r="AF34" s="9"/>
      <c r="AG34" s="9"/>
      <c r="AH34" s="6"/>
      <c r="AI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46"/>
      <c r="BC34" s="9"/>
      <c r="BD34" s="46"/>
      <c r="BE34" s="9"/>
      <c r="BF34" s="9"/>
      <c r="BG34" s="6"/>
      <c r="BH34" s="6"/>
    </row>
    <row r="35" spans="1:60" s="7" customFormat="1" ht="15.75" x14ac:dyDescent="0.25">
      <c r="A35" s="6"/>
      <c r="B35" s="6"/>
      <c r="C35" s="6"/>
      <c r="D35" s="6"/>
      <c r="R35" s="8"/>
      <c r="S35" s="9"/>
      <c r="T35" s="9"/>
      <c r="U35" s="9"/>
      <c r="V35" s="9"/>
      <c r="W35" s="9"/>
      <c r="X35" s="9"/>
      <c r="Y35" s="9"/>
      <c r="Z35" s="6"/>
      <c r="AA35" s="9"/>
      <c r="AB35" s="9"/>
      <c r="AC35" s="9"/>
      <c r="AD35" s="9"/>
      <c r="AE35" s="9"/>
      <c r="AF35" s="9"/>
      <c r="AG35" s="9"/>
      <c r="AH35" s="6"/>
      <c r="AI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46"/>
      <c r="BC35" s="9"/>
      <c r="BD35" s="46"/>
      <c r="BE35" s="9"/>
      <c r="BF35" s="9"/>
      <c r="BG35" s="6"/>
      <c r="BH35" s="6"/>
    </row>
    <row r="36" spans="1:60" s="7" customFormat="1" ht="15.75" x14ac:dyDescent="0.25">
      <c r="A36" s="6"/>
      <c r="B36" s="6"/>
      <c r="C36" s="6"/>
      <c r="D36" s="6"/>
      <c r="R36" s="8"/>
      <c r="S36" s="9"/>
      <c r="T36" s="9"/>
      <c r="U36" s="9"/>
      <c r="V36" s="9"/>
      <c r="W36" s="9"/>
      <c r="X36" s="9"/>
      <c r="Y36" s="9"/>
      <c r="Z36" s="6"/>
      <c r="AA36" s="9"/>
      <c r="AB36" s="9"/>
      <c r="AC36" s="9"/>
      <c r="AD36" s="9"/>
      <c r="AE36" s="9"/>
      <c r="AF36" s="9"/>
      <c r="AG36" s="9"/>
      <c r="AH36" s="6"/>
      <c r="AI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46"/>
      <c r="BC36" s="9"/>
      <c r="BD36" s="46"/>
      <c r="BE36" s="9"/>
      <c r="BF36" s="9"/>
      <c r="BG36" s="6"/>
      <c r="BH36" s="6"/>
    </row>
    <row r="37" spans="1:60" s="7" customFormat="1" ht="15.75" x14ac:dyDescent="0.25">
      <c r="A37" s="6"/>
      <c r="B37" s="6"/>
      <c r="C37" s="6"/>
      <c r="D37" s="6"/>
      <c r="R37" s="8"/>
      <c r="S37" s="9"/>
      <c r="T37" s="9"/>
      <c r="U37" s="9"/>
      <c r="V37" s="9"/>
      <c r="W37" s="9"/>
      <c r="X37" s="9"/>
      <c r="Y37" s="9"/>
      <c r="Z37" s="6"/>
      <c r="AA37" s="9"/>
      <c r="AB37" s="9"/>
      <c r="AC37" s="9"/>
      <c r="AD37" s="9"/>
      <c r="AE37" s="9"/>
      <c r="AF37" s="9"/>
      <c r="AG37" s="9"/>
      <c r="AH37" s="6"/>
      <c r="AI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46"/>
      <c r="BC37" s="9"/>
      <c r="BD37" s="46"/>
      <c r="BE37" s="9"/>
      <c r="BF37" s="9"/>
      <c r="BG37" s="6"/>
      <c r="BH37" s="6"/>
    </row>
    <row r="38" spans="1:60" s="7" customFormat="1" ht="15.75" x14ac:dyDescent="0.25">
      <c r="A38" s="6"/>
      <c r="B38" s="6"/>
      <c r="C38" s="6"/>
      <c r="D38" s="6"/>
      <c r="R38" s="8"/>
      <c r="S38" s="9"/>
      <c r="T38" s="9"/>
      <c r="U38" s="9"/>
      <c r="V38" s="9"/>
      <c r="W38" s="9"/>
      <c r="X38" s="9"/>
      <c r="Y38" s="9"/>
      <c r="Z38" s="6"/>
      <c r="AA38" s="9"/>
      <c r="AB38" s="9"/>
      <c r="AC38" s="9"/>
      <c r="AD38" s="9"/>
      <c r="AE38" s="9"/>
      <c r="AF38" s="9"/>
      <c r="AG38" s="9"/>
      <c r="AH38" s="6"/>
      <c r="AI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46"/>
      <c r="BC38" s="9"/>
      <c r="BD38" s="46"/>
      <c r="BE38" s="9"/>
      <c r="BF38" s="9"/>
      <c r="BG38" s="6"/>
      <c r="BH38" s="6"/>
    </row>
    <row r="39" spans="1:60" s="7" customFormat="1" ht="15.75" x14ac:dyDescent="0.25">
      <c r="A39" s="6"/>
      <c r="B39" s="6"/>
      <c r="C39" s="6"/>
      <c r="D39" s="6"/>
      <c r="R39" s="8"/>
      <c r="S39" s="9"/>
      <c r="T39" s="9"/>
      <c r="U39" s="9"/>
      <c r="V39" s="9"/>
      <c r="W39" s="9"/>
      <c r="X39" s="9"/>
      <c r="Y39" s="9"/>
      <c r="Z39" s="6"/>
      <c r="AA39" s="9"/>
      <c r="AB39" s="9"/>
      <c r="AC39" s="9"/>
      <c r="AD39" s="9"/>
      <c r="AE39" s="9"/>
      <c r="AF39" s="9"/>
      <c r="AG39" s="9"/>
      <c r="AH39" s="6"/>
      <c r="AI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46"/>
      <c r="BC39" s="9"/>
      <c r="BD39" s="46"/>
      <c r="BE39" s="9"/>
      <c r="BF39" s="9"/>
      <c r="BG39" s="6"/>
      <c r="BH39" s="6"/>
    </row>
    <row r="40" spans="1:60" s="7" customFormat="1" ht="15.75" x14ac:dyDescent="0.25">
      <c r="A40" s="6"/>
      <c r="B40" s="6"/>
      <c r="C40" s="6"/>
      <c r="D40" s="6"/>
      <c r="R40" s="8"/>
      <c r="S40" s="9"/>
      <c r="T40" s="9"/>
      <c r="U40" s="9"/>
      <c r="V40" s="9"/>
      <c r="W40" s="9"/>
      <c r="X40" s="9"/>
      <c r="Y40" s="9"/>
      <c r="Z40" s="6"/>
      <c r="AA40" s="9"/>
      <c r="AB40" s="9"/>
      <c r="AC40" s="9"/>
      <c r="AD40" s="9"/>
      <c r="AE40" s="9"/>
      <c r="AF40" s="9"/>
      <c r="AG40" s="9"/>
      <c r="AH40" s="6"/>
      <c r="AI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46"/>
      <c r="BC40" s="9"/>
      <c r="BD40" s="46"/>
      <c r="BE40" s="9"/>
      <c r="BF40" s="9"/>
      <c r="BG40" s="6"/>
      <c r="BH40" s="6"/>
    </row>
    <row r="41" spans="1:60" s="7" customFormat="1" ht="15.75" x14ac:dyDescent="0.25">
      <c r="A41" s="6"/>
      <c r="B41" s="6"/>
      <c r="C41" s="6"/>
      <c r="D41" s="6"/>
      <c r="R41" s="8"/>
      <c r="S41" s="9"/>
      <c r="T41" s="9"/>
      <c r="U41" s="9"/>
      <c r="V41" s="9"/>
      <c r="W41" s="9"/>
      <c r="X41" s="9"/>
      <c r="Y41" s="9"/>
      <c r="Z41" s="6"/>
      <c r="AA41" s="9"/>
      <c r="AB41" s="9"/>
      <c r="AC41" s="9"/>
      <c r="AD41" s="9"/>
      <c r="AE41" s="9"/>
      <c r="AF41" s="9"/>
      <c r="AG41" s="9"/>
      <c r="AH41" s="6"/>
      <c r="AI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46"/>
      <c r="BC41" s="9"/>
      <c r="BD41" s="46"/>
      <c r="BE41" s="9"/>
      <c r="BF41" s="9"/>
      <c r="BG41" s="6"/>
      <c r="BH41" s="6"/>
    </row>
    <row r="42" spans="1:60" s="7" customFormat="1" ht="15.75" x14ac:dyDescent="0.25">
      <c r="A42" s="6"/>
      <c r="B42" s="6"/>
      <c r="C42" s="6"/>
      <c r="D42" s="6"/>
      <c r="R42" s="8"/>
      <c r="S42" s="9"/>
      <c r="T42" s="9"/>
      <c r="U42" s="9"/>
      <c r="V42" s="9"/>
      <c r="W42" s="9"/>
      <c r="X42" s="9"/>
      <c r="Y42" s="9"/>
      <c r="Z42" s="6"/>
      <c r="AA42" s="9"/>
      <c r="AB42" s="9"/>
      <c r="AC42" s="9"/>
      <c r="AD42" s="9"/>
      <c r="AE42" s="9"/>
      <c r="AF42" s="9"/>
      <c r="AG42" s="9"/>
      <c r="AH42" s="6"/>
      <c r="AI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46"/>
      <c r="BC42" s="9"/>
      <c r="BD42" s="46"/>
      <c r="BE42" s="9"/>
      <c r="BF42" s="9"/>
      <c r="BG42" s="6"/>
      <c r="BH42" s="6"/>
    </row>
    <row r="43" spans="1:60" s="7" customFormat="1" ht="15.75" x14ac:dyDescent="0.25">
      <c r="A43" s="6"/>
      <c r="B43" s="6"/>
      <c r="C43" s="6"/>
      <c r="D43" s="6"/>
      <c r="R43" s="8"/>
      <c r="S43" s="9"/>
      <c r="T43" s="9"/>
      <c r="U43" s="9"/>
      <c r="V43" s="9"/>
      <c r="W43" s="9"/>
      <c r="X43" s="9"/>
      <c r="Y43" s="9"/>
      <c r="Z43" s="6"/>
      <c r="AA43" s="9"/>
      <c r="AB43" s="9"/>
      <c r="AC43" s="9"/>
      <c r="AD43" s="9"/>
      <c r="AE43" s="9"/>
      <c r="AF43" s="9"/>
      <c r="AG43" s="9"/>
      <c r="AH43" s="6"/>
      <c r="AI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46"/>
      <c r="BC43" s="9"/>
      <c r="BD43" s="46"/>
      <c r="BE43" s="9"/>
      <c r="BF43" s="9"/>
      <c r="BG43" s="6"/>
      <c r="BH43" s="6"/>
    </row>
    <row r="44" spans="1:60" s="7" customFormat="1" ht="15.75" x14ac:dyDescent="0.25">
      <c r="A44" s="6"/>
      <c r="B44" s="6"/>
      <c r="C44" s="6"/>
      <c r="D44" s="6"/>
      <c r="R44" s="8"/>
      <c r="S44" s="9"/>
      <c r="T44" s="9"/>
      <c r="U44" s="9"/>
      <c r="V44" s="9"/>
      <c r="W44" s="9"/>
      <c r="X44" s="9"/>
      <c r="Y44" s="9"/>
      <c r="Z44" s="6"/>
      <c r="AA44" s="9"/>
      <c r="AB44" s="9"/>
      <c r="AC44" s="9"/>
      <c r="AD44" s="9"/>
      <c r="AE44" s="9"/>
      <c r="AF44" s="9"/>
      <c r="AG44" s="9"/>
      <c r="AH44" s="6"/>
      <c r="AI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46"/>
      <c r="BC44" s="9"/>
      <c r="BD44" s="46"/>
      <c r="BE44" s="9"/>
      <c r="BF44" s="9"/>
      <c r="BG44" s="6"/>
      <c r="BH44" s="6"/>
    </row>
    <row r="45" spans="1:60" s="7" customFormat="1" ht="15.75" x14ac:dyDescent="0.25">
      <c r="A45" s="6"/>
      <c r="B45" s="6"/>
      <c r="C45" s="6"/>
      <c r="D45" s="6"/>
      <c r="R45" s="8"/>
      <c r="S45" s="9"/>
      <c r="T45" s="9"/>
      <c r="U45" s="9"/>
      <c r="V45" s="9"/>
      <c r="W45" s="9"/>
      <c r="X45" s="9"/>
      <c r="Y45" s="9"/>
      <c r="Z45" s="6"/>
      <c r="AA45" s="9"/>
      <c r="AB45" s="9"/>
      <c r="AC45" s="9"/>
      <c r="AD45" s="9"/>
      <c r="AE45" s="9"/>
      <c r="AF45" s="9"/>
      <c r="AG45" s="9"/>
      <c r="AH45" s="6"/>
      <c r="AI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46"/>
      <c r="BC45" s="9"/>
      <c r="BD45" s="46"/>
      <c r="BE45" s="9"/>
      <c r="BF45" s="9"/>
      <c r="BG45" s="6"/>
      <c r="BH45" s="6"/>
    </row>
    <row r="46" spans="1:60" s="7" customFormat="1" ht="15.75" x14ac:dyDescent="0.25">
      <c r="A46" s="6"/>
      <c r="B46" s="6"/>
      <c r="C46" s="6"/>
      <c r="D46" s="6"/>
      <c r="R46" s="8"/>
      <c r="S46" s="9"/>
      <c r="T46" s="9"/>
      <c r="U46" s="9"/>
      <c r="V46" s="9"/>
      <c r="W46" s="9"/>
      <c r="X46" s="9"/>
      <c r="Y46" s="9"/>
      <c r="Z46" s="6"/>
      <c r="AA46" s="9"/>
      <c r="AB46" s="9"/>
      <c r="AC46" s="9"/>
      <c r="AD46" s="9"/>
      <c r="AE46" s="9"/>
      <c r="AF46" s="9"/>
      <c r="AG46" s="9"/>
      <c r="AH46" s="6"/>
      <c r="AI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46"/>
      <c r="BC46" s="9"/>
      <c r="BD46" s="46"/>
      <c r="BE46" s="9"/>
      <c r="BF46" s="9"/>
      <c r="BG46" s="6"/>
      <c r="BH46" s="6"/>
    </row>
    <row r="47" spans="1:60" s="7" customFormat="1" ht="15.75" x14ac:dyDescent="0.25">
      <c r="A47" s="6"/>
      <c r="B47" s="6"/>
      <c r="C47" s="6"/>
      <c r="D47" s="6"/>
      <c r="R47" s="8"/>
      <c r="S47" s="9"/>
      <c r="T47" s="9"/>
      <c r="U47" s="9"/>
      <c r="V47" s="9"/>
      <c r="W47" s="9"/>
      <c r="X47" s="9"/>
      <c r="Y47" s="9"/>
      <c r="Z47" s="6"/>
      <c r="AA47" s="9"/>
      <c r="AB47" s="9"/>
      <c r="AC47" s="9"/>
      <c r="AD47" s="9"/>
      <c r="AE47" s="9"/>
      <c r="AF47" s="9"/>
      <c r="AG47" s="9"/>
      <c r="AH47" s="6"/>
      <c r="AI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46"/>
      <c r="BC47" s="9"/>
      <c r="BD47" s="46"/>
      <c r="BE47" s="9"/>
      <c r="BF47" s="9"/>
      <c r="BG47" s="6"/>
      <c r="BH47" s="6"/>
    </row>
    <row r="48" spans="1:60" s="7" customFormat="1" ht="15.75" x14ac:dyDescent="0.25">
      <c r="A48" s="6"/>
      <c r="B48" s="6"/>
      <c r="C48" s="6"/>
      <c r="D48" s="6"/>
      <c r="R48" s="8"/>
      <c r="S48" s="9"/>
      <c r="T48" s="9"/>
      <c r="U48" s="9"/>
      <c r="V48" s="9"/>
      <c r="W48" s="9"/>
      <c r="X48" s="9"/>
      <c r="Y48" s="9"/>
      <c r="Z48" s="6"/>
      <c r="AA48" s="9"/>
      <c r="AB48" s="9"/>
      <c r="AC48" s="9"/>
      <c r="AD48" s="9"/>
      <c r="AE48" s="9"/>
      <c r="AF48" s="9"/>
      <c r="AG48" s="9"/>
      <c r="AH48" s="6"/>
      <c r="AI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46"/>
      <c r="BC48" s="9"/>
      <c r="BD48" s="46"/>
      <c r="BE48" s="9"/>
      <c r="BF48" s="9"/>
      <c r="BG48" s="6"/>
      <c r="BH48" s="6"/>
    </row>
    <row r="49" spans="1:60" s="7" customFormat="1" ht="15.75" x14ac:dyDescent="0.25">
      <c r="A49" s="6"/>
      <c r="B49" s="6"/>
      <c r="C49" s="6"/>
      <c r="D49" s="6"/>
      <c r="R49" s="8"/>
      <c r="S49" s="9"/>
      <c r="T49" s="9"/>
      <c r="U49" s="9"/>
      <c r="V49" s="9"/>
      <c r="W49" s="9"/>
      <c r="X49" s="9"/>
      <c r="Y49" s="9"/>
      <c r="Z49" s="6"/>
      <c r="AA49" s="9"/>
      <c r="AB49" s="9"/>
      <c r="AC49" s="9"/>
      <c r="AD49" s="9"/>
      <c r="AE49" s="9"/>
      <c r="AF49" s="9"/>
      <c r="AG49" s="9"/>
      <c r="AH49" s="6"/>
      <c r="AI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46"/>
      <c r="BC49" s="9"/>
      <c r="BD49" s="46"/>
      <c r="BE49" s="9"/>
      <c r="BF49" s="9"/>
      <c r="BG49" s="6"/>
      <c r="BH49" s="6"/>
    </row>
    <row r="50" spans="1:60" s="7" customFormat="1" ht="15.75" x14ac:dyDescent="0.25">
      <c r="A50" s="6"/>
      <c r="B50" s="6"/>
      <c r="C50" s="6"/>
      <c r="D50" s="6"/>
      <c r="R50" s="8"/>
      <c r="S50" s="9"/>
      <c r="T50" s="9"/>
      <c r="U50" s="9"/>
      <c r="V50" s="9"/>
      <c r="W50" s="9"/>
      <c r="X50" s="9"/>
      <c r="Y50" s="9"/>
      <c r="Z50" s="6"/>
      <c r="AA50" s="9"/>
      <c r="AB50" s="9"/>
      <c r="AC50" s="9"/>
      <c r="AD50" s="9"/>
      <c r="AE50" s="9"/>
      <c r="AF50" s="9"/>
      <c r="AG50" s="9"/>
      <c r="AH50" s="6"/>
      <c r="AI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46"/>
      <c r="BC50" s="9"/>
      <c r="BD50" s="46"/>
      <c r="BE50" s="9"/>
      <c r="BF50" s="9"/>
      <c r="BG50" s="6"/>
      <c r="BH50" s="6"/>
    </row>
    <row r="51" spans="1:60" s="7" customFormat="1" ht="15.75" x14ac:dyDescent="0.25">
      <c r="A51" s="6"/>
      <c r="B51" s="6"/>
      <c r="C51" s="6"/>
      <c r="D51" s="6"/>
      <c r="R51" s="8"/>
      <c r="S51" s="9"/>
      <c r="T51" s="9"/>
      <c r="U51" s="9"/>
      <c r="V51" s="9"/>
      <c r="W51" s="9"/>
      <c r="X51" s="9"/>
      <c r="Y51" s="9"/>
      <c r="Z51" s="6"/>
      <c r="AA51" s="9"/>
      <c r="AB51" s="9"/>
      <c r="AC51" s="9"/>
      <c r="AD51" s="9"/>
      <c r="AE51" s="9"/>
      <c r="AF51" s="9"/>
      <c r="AG51" s="9"/>
      <c r="AH51" s="6"/>
      <c r="AI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46"/>
      <c r="BC51" s="9"/>
      <c r="BD51" s="46"/>
      <c r="BE51" s="9"/>
      <c r="BF51" s="9"/>
      <c r="BG51" s="6"/>
      <c r="BH51" s="6"/>
    </row>
    <row r="52" spans="1:60" s="7" customFormat="1" ht="15.75" x14ac:dyDescent="0.25">
      <c r="A52" s="6"/>
      <c r="B52" s="6"/>
      <c r="C52" s="6"/>
      <c r="D52" s="6"/>
      <c r="R52" s="8"/>
      <c r="S52" s="9"/>
      <c r="T52" s="9"/>
      <c r="U52" s="9"/>
      <c r="V52" s="9"/>
      <c r="W52" s="9"/>
      <c r="X52" s="9"/>
      <c r="Y52" s="9"/>
      <c r="Z52" s="6"/>
      <c r="AA52" s="9"/>
      <c r="AB52" s="9"/>
      <c r="AC52" s="9"/>
      <c r="AD52" s="9"/>
      <c r="AE52" s="9"/>
      <c r="AF52" s="9"/>
      <c r="AG52" s="9"/>
      <c r="AH52" s="6"/>
      <c r="AI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46"/>
      <c r="BC52" s="9"/>
      <c r="BD52" s="46"/>
      <c r="BE52" s="9"/>
      <c r="BF52" s="9"/>
      <c r="BG52" s="6"/>
      <c r="BH52" s="6"/>
    </row>
    <row r="53" spans="1:60" s="7" customFormat="1" ht="15.75" x14ac:dyDescent="0.25">
      <c r="A53" s="6"/>
      <c r="B53" s="6"/>
      <c r="C53" s="6"/>
      <c r="D53" s="6"/>
      <c r="R53" s="8"/>
      <c r="S53" s="9"/>
      <c r="T53" s="9"/>
      <c r="U53" s="9"/>
      <c r="V53" s="9"/>
      <c r="W53" s="9"/>
      <c r="X53" s="9"/>
      <c r="Y53" s="9"/>
      <c r="Z53" s="6"/>
      <c r="AA53" s="9"/>
      <c r="AB53" s="9"/>
      <c r="AC53" s="9"/>
      <c r="AD53" s="9"/>
      <c r="AE53" s="9"/>
      <c r="AF53" s="9"/>
      <c r="AG53" s="9"/>
      <c r="AH53" s="6"/>
      <c r="AI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46"/>
      <c r="BC53" s="9"/>
      <c r="BD53" s="46"/>
      <c r="BE53" s="9"/>
      <c r="BF53" s="9"/>
      <c r="BG53" s="6"/>
      <c r="BH53" s="6"/>
    </row>
    <row r="54" spans="1:60" s="7" customFormat="1" ht="15.75" x14ac:dyDescent="0.25">
      <c r="A54" s="6"/>
      <c r="B54" s="6"/>
      <c r="C54" s="6"/>
      <c r="D54" s="6"/>
      <c r="R54" s="8"/>
      <c r="S54" s="9"/>
      <c r="T54" s="9"/>
      <c r="U54" s="9"/>
      <c r="V54" s="9"/>
      <c r="W54" s="9"/>
      <c r="X54" s="9"/>
      <c r="Y54" s="9"/>
      <c r="Z54" s="6"/>
      <c r="AA54" s="9"/>
      <c r="AB54" s="9"/>
      <c r="AC54" s="9"/>
      <c r="AD54" s="9"/>
      <c r="AE54" s="9"/>
      <c r="AF54" s="9"/>
      <c r="AG54" s="9"/>
      <c r="AH54" s="6"/>
      <c r="AI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46"/>
      <c r="BC54" s="9"/>
      <c r="BD54" s="46"/>
      <c r="BE54" s="9"/>
      <c r="BF54" s="9"/>
      <c r="BG54" s="6"/>
      <c r="BH54" s="6"/>
    </row>
    <row r="55" spans="1:60" s="7" customFormat="1" ht="15.75" x14ac:dyDescent="0.25">
      <c r="A55" s="6"/>
      <c r="B55" s="6"/>
      <c r="C55" s="6"/>
      <c r="D55" s="6"/>
      <c r="R55" s="8"/>
      <c r="S55" s="9"/>
      <c r="T55" s="9"/>
      <c r="U55" s="9"/>
      <c r="V55" s="9"/>
      <c r="W55" s="9"/>
      <c r="X55" s="9"/>
      <c r="Y55" s="9"/>
      <c r="Z55" s="6"/>
      <c r="AA55" s="9"/>
      <c r="AB55" s="9"/>
      <c r="AC55" s="9"/>
      <c r="AD55" s="9"/>
      <c r="AE55" s="9"/>
      <c r="AF55" s="9"/>
      <c r="AG55" s="9"/>
      <c r="AH55" s="6"/>
      <c r="AI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46"/>
      <c r="BC55" s="9"/>
      <c r="BD55" s="46"/>
      <c r="BE55" s="9"/>
      <c r="BF55" s="9"/>
      <c r="BG55" s="6"/>
      <c r="BH55" s="6"/>
    </row>
    <row r="56" spans="1:60" s="7" customFormat="1" ht="15.75" x14ac:dyDescent="0.25">
      <c r="A56" s="6"/>
      <c r="B56" s="6"/>
      <c r="C56" s="6"/>
      <c r="D56" s="6"/>
      <c r="R56" s="8"/>
      <c r="S56" s="9"/>
      <c r="T56" s="9"/>
      <c r="U56" s="9"/>
      <c r="V56" s="9"/>
      <c r="W56" s="9"/>
      <c r="X56" s="9"/>
      <c r="Y56" s="9"/>
      <c r="Z56" s="6"/>
      <c r="AA56" s="9"/>
      <c r="AB56" s="9"/>
      <c r="AC56" s="9"/>
      <c r="AD56" s="9"/>
      <c r="AE56" s="9"/>
      <c r="AF56" s="9"/>
      <c r="AG56" s="9"/>
      <c r="AH56" s="6"/>
      <c r="AI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46"/>
      <c r="BC56" s="9"/>
      <c r="BD56" s="46"/>
      <c r="BE56" s="9"/>
      <c r="BF56" s="9"/>
      <c r="BG56" s="6"/>
      <c r="BH56" s="6"/>
    </row>
    <row r="57" spans="1:60" s="7" customFormat="1" ht="15.75" x14ac:dyDescent="0.25">
      <c r="A57" s="6"/>
      <c r="B57" s="6"/>
      <c r="C57" s="6"/>
      <c r="D57" s="6"/>
      <c r="R57" s="8"/>
      <c r="S57" s="9"/>
      <c r="T57" s="9"/>
      <c r="U57" s="9"/>
      <c r="V57" s="9"/>
      <c r="W57" s="9"/>
      <c r="X57" s="9"/>
      <c r="Y57" s="9"/>
      <c r="Z57" s="6"/>
      <c r="AA57" s="9"/>
      <c r="AB57" s="9"/>
      <c r="AC57" s="9"/>
      <c r="AD57" s="9"/>
      <c r="AE57" s="9"/>
      <c r="AF57" s="9"/>
      <c r="AG57" s="9"/>
      <c r="AH57" s="6"/>
      <c r="AI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46"/>
      <c r="BC57" s="9"/>
      <c r="BD57" s="46"/>
      <c r="BE57" s="9"/>
      <c r="BF57" s="9"/>
      <c r="BG57" s="6"/>
      <c r="BH57" s="6"/>
    </row>
    <row r="58" spans="1:60" s="7" customFormat="1" ht="15.75" x14ac:dyDescent="0.25">
      <c r="A58" s="6"/>
      <c r="B58" s="6"/>
      <c r="C58" s="6"/>
      <c r="D58" s="6"/>
      <c r="R58" s="8"/>
      <c r="S58" s="9"/>
      <c r="T58" s="9"/>
      <c r="U58" s="9"/>
      <c r="V58" s="9"/>
      <c r="W58" s="9"/>
      <c r="X58" s="9"/>
      <c r="Y58" s="9"/>
      <c r="Z58" s="6"/>
      <c r="AA58" s="9"/>
      <c r="AB58" s="9"/>
      <c r="AC58" s="9"/>
      <c r="AD58" s="9"/>
      <c r="AE58" s="9"/>
      <c r="AF58" s="9"/>
      <c r="AG58" s="9"/>
      <c r="AH58" s="6"/>
      <c r="AI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46"/>
      <c r="BC58" s="9"/>
      <c r="BD58" s="46"/>
      <c r="BE58" s="9"/>
      <c r="BF58" s="9"/>
      <c r="BG58" s="6"/>
      <c r="BH58" s="6"/>
    </row>
    <row r="59" spans="1:60" s="7" customFormat="1" ht="15.75" x14ac:dyDescent="0.25">
      <c r="A59" s="6"/>
      <c r="B59" s="6"/>
      <c r="C59" s="6"/>
      <c r="D59" s="6"/>
      <c r="R59" s="8"/>
      <c r="S59" s="9"/>
      <c r="T59" s="9"/>
      <c r="U59" s="9"/>
      <c r="V59" s="9"/>
      <c r="W59" s="9"/>
      <c r="X59" s="9"/>
      <c r="Y59" s="9"/>
      <c r="Z59" s="6"/>
      <c r="AA59" s="9"/>
      <c r="AB59" s="9"/>
      <c r="AC59" s="9"/>
      <c r="AD59" s="9"/>
      <c r="AE59" s="9"/>
      <c r="AF59" s="9"/>
      <c r="AG59" s="9"/>
      <c r="AH59" s="6"/>
      <c r="AI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46"/>
      <c r="BC59" s="9"/>
      <c r="BD59" s="46"/>
      <c r="BE59" s="9"/>
      <c r="BF59" s="9"/>
      <c r="BG59" s="6"/>
      <c r="BH59" s="6"/>
    </row>
    <row r="60" spans="1:60" s="7" customFormat="1" ht="15.75" x14ac:dyDescent="0.25">
      <c r="A60" s="6"/>
      <c r="B60" s="6"/>
      <c r="C60" s="6"/>
      <c r="D60" s="6"/>
      <c r="R60" s="8"/>
      <c r="S60" s="9"/>
      <c r="T60" s="9"/>
      <c r="U60" s="9"/>
      <c r="V60" s="9"/>
      <c r="W60" s="9"/>
      <c r="X60" s="9"/>
      <c r="Y60" s="9"/>
      <c r="Z60" s="6"/>
      <c r="AA60" s="9"/>
      <c r="AB60" s="9"/>
      <c r="AC60" s="9"/>
      <c r="AD60" s="9"/>
      <c r="AE60" s="9"/>
      <c r="AF60" s="9"/>
      <c r="AG60" s="9"/>
      <c r="AH60" s="6"/>
      <c r="AI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46"/>
      <c r="BC60" s="9"/>
      <c r="BD60" s="46"/>
      <c r="BE60" s="9"/>
      <c r="BF60" s="9"/>
      <c r="BG60" s="6"/>
      <c r="BH60" s="6"/>
    </row>
    <row r="61" spans="1:60" s="7" customFormat="1" ht="15.75" x14ac:dyDescent="0.25">
      <c r="A61" s="6"/>
      <c r="B61" s="6"/>
      <c r="C61" s="6"/>
      <c r="D61" s="6"/>
      <c r="R61" s="8"/>
      <c r="S61" s="9"/>
      <c r="T61" s="9"/>
      <c r="U61" s="9"/>
      <c r="V61" s="9"/>
      <c r="W61" s="9"/>
      <c r="X61" s="9"/>
      <c r="Y61" s="9"/>
      <c r="Z61" s="6"/>
      <c r="AA61" s="9"/>
      <c r="AB61" s="9"/>
      <c r="AC61" s="9"/>
      <c r="AD61" s="9"/>
      <c r="AE61" s="9"/>
      <c r="AF61" s="9"/>
      <c r="AG61" s="9"/>
      <c r="AH61" s="6"/>
      <c r="AI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46"/>
      <c r="BC61" s="9"/>
      <c r="BD61" s="46"/>
      <c r="BE61" s="9"/>
      <c r="BF61" s="9"/>
      <c r="BG61" s="6"/>
      <c r="BH61" s="6"/>
    </row>
    <row r="62" spans="1:60" s="7" customFormat="1" ht="15.75" x14ac:dyDescent="0.25">
      <c r="A62" s="6"/>
      <c r="B62" s="6"/>
      <c r="C62" s="6"/>
      <c r="D62" s="6"/>
      <c r="R62" s="8"/>
      <c r="S62" s="9"/>
      <c r="T62" s="9"/>
      <c r="U62" s="9"/>
      <c r="V62" s="9"/>
      <c r="W62" s="9"/>
      <c r="X62" s="9"/>
      <c r="Y62" s="9"/>
      <c r="Z62" s="6"/>
      <c r="AA62" s="9"/>
      <c r="AB62" s="9"/>
      <c r="AC62" s="9"/>
      <c r="AD62" s="9"/>
      <c r="AE62" s="9"/>
      <c r="AF62" s="9"/>
      <c r="AG62" s="9"/>
      <c r="AH62" s="6"/>
      <c r="AI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46"/>
      <c r="BC62" s="9"/>
      <c r="BD62" s="46"/>
      <c r="BE62" s="9"/>
      <c r="BF62" s="9"/>
      <c r="BG62" s="6"/>
      <c r="BH62" s="6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6"/>
      <c r="BC63" s="9"/>
      <c r="BD63" s="46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6"/>
      <c r="BC64" s="9"/>
      <c r="BD64" s="46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6"/>
      <c r="BC65" s="9"/>
      <c r="BD65" s="46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6"/>
      <c r="BC66" s="9"/>
      <c r="BD66" s="46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6"/>
      <c r="BC67" s="9"/>
      <c r="BD67" s="46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6"/>
      <c r="BC68" s="9"/>
      <c r="BD68" s="46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6"/>
      <c r="BC69" s="9"/>
      <c r="BD69" s="46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6"/>
      <c r="BC70" s="9"/>
      <c r="BD70" s="46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6"/>
      <c r="BC71" s="9"/>
      <c r="BD71" s="46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6"/>
      <c r="BC72" s="9"/>
      <c r="BD72" s="46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6"/>
      <c r="BC73" s="9"/>
      <c r="BD73" s="46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6"/>
      <c r="BC74" s="9"/>
      <c r="BD74" s="46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6"/>
      <c r="BC75" s="9"/>
      <c r="BD75" s="46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6"/>
      <c r="BC76" s="9"/>
      <c r="BD76" s="46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6"/>
      <c r="BC77" s="9"/>
      <c r="BD77" s="46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6"/>
      <c r="BC78" s="9"/>
      <c r="BD78" s="46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6"/>
      <c r="BC79" s="9"/>
      <c r="BD79" s="46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6"/>
      <c r="BC80" s="9"/>
      <c r="BD80" s="46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6"/>
      <c r="BC81" s="9"/>
      <c r="BD81" s="46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6"/>
      <c r="BC82" s="9"/>
      <c r="BD82" s="46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6"/>
      <c r="BC83" s="9"/>
      <c r="BD83" s="46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6"/>
      <c r="AS84" s="6"/>
      <c r="AT84" s="6"/>
      <c r="AU84" s="6"/>
      <c r="AV84" s="6"/>
      <c r="AW84" s="6"/>
      <c r="AX84" s="6"/>
      <c r="AY84" s="9"/>
      <c r="AZ84" s="9"/>
      <c r="BA84" s="9"/>
      <c r="BB84" s="46"/>
      <c r="BC84" s="9"/>
      <c r="BD84" s="46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6"/>
      <c r="AR85" s="6"/>
      <c r="AS85" s="6"/>
      <c r="AT85" s="6"/>
      <c r="AU85" s="6"/>
      <c r="AV85" s="6"/>
      <c r="AW85" s="6"/>
      <c r="AX85" s="6"/>
      <c r="AY85" s="9"/>
      <c r="AZ85" s="9"/>
      <c r="BA85" s="9"/>
      <c r="BB85" s="46"/>
      <c r="BC85" s="9"/>
      <c r="BD85" s="46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6"/>
      <c r="AR86" s="6"/>
      <c r="AS86" s="6"/>
      <c r="AT86" s="6"/>
      <c r="AU86" s="6"/>
      <c r="AV86" s="6"/>
      <c r="AW86" s="6"/>
      <c r="AX86" s="6"/>
      <c r="AY86" s="9"/>
      <c r="AZ86" s="9"/>
      <c r="BA86" s="9"/>
      <c r="BB86" s="46"/>
      <c r="BC86" s="9"/>
      <c r="BD86" s="46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6"/>
      <c r="AR87" s="6"/>
      <c r="AS87" s="6"/>
      <c r="AT87" s="6"/>
      <c r="AU87" s="6"/>
      <c r="AV87" s="6"/>
      <c r="AW87" s="6"/>
      <c r="AX87" s="6"/>
      <c r="AY87" s="9"/>
      <c r="AZ87" s="9"/>
      <c r="BA87" s="9"/>
      <c r="BB87" s="46"/>
      <c r="BC87" s="9"/>
      <c r="BD87" s="46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6"/>
      <c r="AR88" s="6"/>
      <c r="AS88" s="6"/>
      <c r="AT88" s="6"/>
      <c r="AU88" s="6"/>
      <c r="AV88" s="6"/>
      <c r="AW88" s="6"/>
      <c r="AX88" s="6"/>
      <c r="AY88" s="9"/>
      <c r="AZ88" s="9"/>
      <c r="BA88" s="9"/>
      <c r="BB88" s="46"/>
      <c r="BC88" s="9"/>
      <c r="BD88" s="46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6"/>
      <c r="AR89" s="6"/>
      <c r="AS89" s="6"/>
      <c r="AT89" s="6"/>
      <c r="AU89" s="6"/>
      <c r="AV89" s="6"/>
      <c r="AW89" s="6"/>
      <c r="AX89" s="6"/>
      <c r="AY89" s="9"/>
      <c r="AZ89" s="9"/>
      <c r="BA89" s="9"/>
      <c r="BB89" s="46"/>
      <c r="BC89" s="9"/>
      <c r="BD89" s="46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6"/>
      <c r="AR90" s="6"/>
      <c r="AS90" s="6"/>
      <c r="AT90" s="6"/>
      <c r="AU90" s="6"/>
      <c r="AV90" s="6"/>
      <c r="AW90" s="6"/>
      <c r="AX90" s="6"/>
      <c r="AY90" s="9"/>
      <c r="AZ90" s="9"/>
      <c r="BA90" s="9"/>
      <c r="BB90" s="46"/>
      <c r="BC90" s="9"/>
      <c r="BD90" s="46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6"/>
      <c r="AR91" s="6"/>
      <c r="AS91" s="6"/>
      <c r="AT91" s="6"/>
      <c r="AU91" s="6"/>
      <c r="AV91" s="6"/>
      <c r="AW91" s="6"/>
      <c r="AX91" s="6"/>
      <c r="AY91" s="9"/>
      <c r="AZ91" s="9"/>
      <c r="BA91" s="9"/>
      <c r="BB91" s="46"/>
      <c r="BC91" s="9"/>
      <c r="BD91" s="46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6"/>
      <c r="AR92" s="6"/>
      <c r="AS92" s="6"/>
      <c r="AT92" s="6"/>
      <c r="AU92" s="6"/>
      <c r="AV92" s="6"/>
      <c r="AW92" s="6"/>
      <c r="AX92" s="6"/>
      <c r="AY92" s="9"/>
      <c r="AZ92" s="9"/>
      <c r="BA92" s="9"/>
      <c r="BB92" s="46"/>
      <c r="BC92" s="9"/>
      <c r="BD92" s="46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6"/>
      <c r="AR93" s="6"/>
      <c r="AS93" s="6"/>
      <c r="AT93" s="6"/>
      <c r="AU93" s="6"/>
      <c r="AV93" s="6"/>
      <c r="AW93" s="6"/>
      <c r="AX93" s="6"/>
      <c r="AY93" s="9"/>
      <c r="AZ93" s="9"/>
      <c r="BA93" s="9"/>
      <c r="BB93" s="46"/>
      <c r="BC93" s="9"/>
      <c r="BD93" s="46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6"/>
      <c r="AR94" s="6"/>
      <c r="AS94" s="6"/>
      <c r="AT94" s="6"/>
      <c r="AU94" s="6"/>
      <c r="AV94" s="6"/>
      <c r="AW94" s="6"/>
      <c r="AX94" s="6"/>
      <c r="AY94" s="9"/>
      <c r="AZ94" s="9"/>
      <c r="BA94" s="9"/>
      <c r="BB94" s="46"/>
      <c r="BC94" s="9"/>
      <c r="BD94" s="46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6"/>
      <c r="AR95" s="6"/>
      <c r="AS95" s="6"/>
      <c r="AT95" s="6"/>
      <c r="AU95" s="6"/>
      <c r="AV95" s="6"/>
      <c r="AW95" s="6"/>
      <c r="AX95" s="6"/>
      <c r="AY95" s="9"/>
      <c r="AZ95" s="9"/>
      <c r="BA95" s="9"/>
      <c r="BB95" s="46"/>
      <c r="BC95" s="9"/>
      <c r="BD95" s="46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6"/>
      <c r="AB96" s="6"/>
      <c r="AC96" s="6"/>
      <c r="AD96" s="6"/>
      <c r="AE96" s="6"/>
      <c r="AF96" s="6"/>
      <c r="AG96" s="6"/>
      <c r="AH96" s="6"/>
      <c r="AI96" s="6"/>
      <c r="AR96" s="6"/>
      <c r="AS96" s="6"/>
      <c r="AT96" s="6"/>
      <c r="AU96" s="6"/>
      <c r="AV96" s="6"/>
      <c r="AW96" s="6"/>
      <c r="AX96" s="6"/>
      <c r="AY96" s="9"/>
      <c r="AZ96" s="9"/>
      <c r="BA96" s="9"/>
      <c r="BB96" s="46"/>
      <c r="BC96" s="9"/>
      <c r="BD96" s="46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6"/>
      <c r="AB97" s="6"/>
      <c r="AC97" s="6"/>
      <c r="AD97" s="6"/>
      <c r="AE97" s="6"/>
      <c r="AF97" s="6"/>
      <c r="AG97" s="6"/>
      <c r="AH97" s="6"/>
      <c r="AI97" s="6"/>
      <c r="AR97" s="6"/>
      <c r="AS97" s="6"/>
      <c r="AT97" s="6"/>
      <c r="AU97" s="6"/>
      <c r="AV97" s="6"/>
      <c r="AW97" s="6"/>
      <c r="AX97" s="6"/>
      <c r="AY97" s="9"/>
      <c r="AZ97" s="9"/>
      <c r="BA97" s="9"/>
      <c r="BB97" s="46"/>
      <c r="BC97" s="9"/>
      <c r="BD97" s="46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6"/>
      <c r="AB98" s="6"/>
      <c r="AC98" s="6"/>
      <c r="AD98" s="6"/>
      <c r="AE98" s="6"/>
      <c r="AF98" s="6"/>
      <c r="AG98" s="6"/>
      <c r="AH98" s="6"/>
      <c r="AI98" s="6"/>
      <c r="AR98" s="6"/>
      <c r="AS98" s="6"/>
      <c r="AT98" s="6"/>
      <c r="AU98" s="6"/>
      <c r="AV98" s="6"/>
      <c r="AW98" s="6"/>
      <c r="AX98" s="6"/>
      <c r="AY98" s="9"/>
      <c r="AZ98" s="9"/>
      <c r="BA98" s="9"/>
      <c r="BB98" s="46"/>
      <c r="BC98" s="9"/>
      <c r="BD98" s="46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6"/>
      <c r="AB99" s="6"/>
      <c r="AC99" s="6"/>
      <c r="AD99" s="6"/>
      <c r="AE99" s="6"/>
      <c r="AF99" s="6"/>
      <c r="AG99" s="6"/>
      <c r="AH99" s="6"/>
      <c r="AI99" s="6"/>
      <c r="AR99" s="6"/>
      <c r="AS99" s="6"/>
      <c r="AT99" s="6"/>
      <c r="AU99" s="6"/>
      <c r="AV99" s="6"/>
      <c r="AW99" s="6"/>
      <c r="AX99" s="6"/>
      <c r="AY99" s="9"/>
      <c r="AZ99" s="9"/>
      <c r="BA99" s="9"/>
      <c r="BB99" s="46"/>
      <c r="BC99" s="9"/>
      <c r="BD99" s="46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R100" s="6"/>
      <c r="AS100" s="6"/>
      <c r="AT100" s="6"/>
      <c r="AU100" s="6"/>
      <c r="AV100" s="6"/>
      <c r="AW100" s="6"/>
      <c r="AX100" s="6"/>
      <c r="AY100" s="9"/>
      <c r="AZ100" s="9"/>
      <c r="BA100" s="9"/>
      <c r="BB100" s="46"/>
      <c r="BC100" s="9"/>
      <c r="BD100" s="46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R101" s="6"/>
      <c r="AS101" s="6"/>
      <c r="AT101" s="6"/>
      <c r="AU101" s="6"/>
      <c r="AV101" s="6"/>
      <c r="AW101" s="6"/>
      <c r="AX101" s="6"/>
      <c r="AY101" s="9"/>
      <c r="AZ101" s="9"/>
      <c r="BA101" s="9"/>
      <c r="BB101" s="46"/>
      <c r="BC101" s="9"/>
      <c r="BD101" s="46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R102" s="6"/>
      <c r="AS102" s="6"/>
      <c r="AT102" s="6"/>
      <c r="AU102" s="6"/>
      <c r="AV102" s="6"/>
      <c r="AW102" s="6"/>
      <c r="AX102" s="6"/>
      <c r="AY102" s="9"/>
      <c r="AZ102" s="9"/>
      <c r="BA102" s="9"/>
      <c r="BB102" s="46"/>
      <c r="BC102" s="9"/>
      <c r="BD102" s="46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R103" s="6"/>
      <c r="AS103" s="6"/>
      <c r="AT103" s="6"/>
      <c r="AU103" s="6"/>
      <c r="AV103" s="6"/>
      <c r="AW103" s="6"/>
      <c r="AX103" s="6"/>
      <c r="AY103" s="9"/>
      <c r="AZ103" s="9"/>
      <c r="BA103" s="9"/>
      <c r="BB103" s="46"/>
      <c r="BC103" s="9"/>
      <c r="BD103" s="46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R104" s="6"/>
      <c r="AS104" s="6"/>
      <c r="AT104" s="6"/>
      <c r="AU104" s="6"/>
      <c r="AV104" s="6"/>
      <c r="AW104" s="6"/>
      <c r="AX104" s="6"/>
      <c r="AY104" s="9"/>
      <c r="AZ104" s="9"/>
      <c r="BA104" s="9"/>
      <c r="BB104" s="46"/>
      <c r="BC104" s="9"/>
      <c r="BD104" s="46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R105" s="6"/>
      <c r="AS105" s="6"/>
      <c r="AT105" s="6"/>
      <c r="AU105" s="6"/>
      <c r="AV105" s="6"/>
      <c r="AW105" s="6"/>
      <c r="AX105" s="6"/>
      <c r="AY105" s="9"/>
      <c r="AZ105" s="9"/>
      <c r="BA105" s="9"/>
      <c r="BB105" s="46"/>
      <c r="BC105" s="9"/>
      <c r="BD105" s="46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R106" s="6"/>
      <c r="AS106" s="6"/>
      <c r="AT106" s="6"/>
      <c r="AU106" s="6"/>
      <c r="AV106" s="6"/>
      <c r="AW106" s="6"/>
      <c r="AX106" s="6"/>
      <c r="AY106" s="9"/>
      <c r="AZ106" s="9"/>
      <c r="BA106" s="9"/>
      <c r="BB106" s="46"/>
      <c r="BC106" s="9"/>
      <c r="BD106" s="46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R107" s="6"/>
      <c r="AS107" s="6"/>
      <c r="AT107" s="6"/>
      <c r="AU107" s="6"/>
      <c r="AV107" s="6"/>
      <c r="AW107" s="6"/>
      <c r="AX107" s="6"/>
      <c r="AY107" s="9"/>
      <c r="AZ107" s="9"/>
      <c r="BA107" s="9"/>
      <c r="BB107" s="46"/>
      <c r="BC107" s="9"/>
      <c r="BD107" s="46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R108" s="6"/>
      <c r="AS108" s="6"/>
      <c r="AT108" s="6"/>
      <c r="AU108" s="6"/>
      <c r="AV108" s="6"/>
      <c r="AW108" s="6"/>
      <c r="AX108" s="6"/>
      <c r="AY108" s="9"/>
      <c r="AZ108" s="9"/>
      <c r="BA108" s="9"/>
      <c r="BB108" s="46"/>
      <c r="BC108" s="9"/>
      <c r="BD108" s="46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R109" s="6"/>
      <c r="AS109" s="6"/>
      <c r="AT109" s="6"/>
      <c r="AU109" s="6"/>
      <c r="AV109" s="6"/>
      <c r="AW109" s="6"/>
      <c r="AX109" s="6"/>
      <c r="AY109" s="9"/>
      <c r="AZ109" s="9"/>
      <c r="BA109" s="9"/>
      <c r="BB109" s="46"/>
      <c r="BC109" s="9"/>
      <c r="BD109" s="46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R110" s="6"/>
      <c r="AS110" s="6"/>
      <c r="AT110" s="6"/>
      <c r="AU110" s="6"/>
      <c r="AV110" s="6"/>
      <c r="AW110" s="6"/>
      <c r="AX110" s="6"/>
      <c r="AY110" s="9"/>
      <c r="AZ110" s="9"/>
      <c r="BA110" s="9"/>
      <c r="BB110" s="46"/>
      <c r="BC110" s="9"/>
      <c r="BD110" s="46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R111" s="6"/>
      <c r="AS111" s="6"/>
      <c r="AT111" s="6"/>
      <c r="AU111" s="6"/>
      <c r="AV111" s="6"/>
      <c r="AW111" s="6"/>
      <c r="AX111" s="6"/>
      <c r="AY111" s="9"/>
      <c r="AZ111" s="9"/>
      <c r="BA111" s="9"/>
      <c r="BB111" s="46"/>
      <c r="BC111" s="9"/>
      <c r="BD111" s="46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R112" s="6"/>
      <c r="AS112" s="6"/>
      <c r="AT112" s="6"/>
      <c r="AU112" s="6"/>
      <c r="AV112" s="6"/>
      <c r="AW112" s="6"/>
      <c r="AX112" s="6"/>
      <c r="AY112" s="9"/>
      <c r="AZ112" s="9"/>
      <c r="BA112" s="9"/>
      <c r="BB112" s="46"/>
      <c r="BC112" s="9"/>
      <c r="BD112" s="46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R113" s="6"/>
      <c r="AS113" s="6"/>
      <c r="AT113" s="6"/>
      <c r="AU113" s="6"/>
      <c r="AV113" s="6"/>
      <c r="AW113" s="6"/>
      <c r="AX113" s="6"/>
      <c r="AY113" s="9"/>
      <c r="AZ113" s="9"/>
      <c r="BA113" s="9"/>
      <c r="BB113" s="46"/>
      <c r="BC113" s="9"/>
      <c r="BD113" s="46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R114" s="6"/>
      <c r="AS114" s="6"/>
      <c r="AT114" s="6"/>
      <c r="AU114" s="6"/>
      <c r="AV114" s="6"/>
      <c r="AW114" s="6"/>
      <c r="AX114" s="6"/>
      <c r="AY114" s="9"/>
      <c r="AZ114" s="9"/>
      <c r="BA114" s="9"/>
      <c r="BB114" s="46"/>
      <c r="BC114" s="9"/>
      <c r="BD114" s="46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6"/>
      <c r="BC115" s="9"/>
      <c r="BD115" s="46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6"/>
      <c r="BC116" s="9"/>
      <c r="BD116" s="46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6"/>
      <c r="BC117" s="9"/>
      <c r="BD117" s="46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6"/>
      <c r="BC118" s="9"/>
      <c r="BD118" s="46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6"/>
      <c r="BC119" s="9"/>
      <c r="BD119" s="46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6"/>
      <c r="BC120" s="9"/>
      <c r="BD120" s="46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6"/>
      <c r="BC121" s="9"/>
      <c r="BD121" s="46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6"/>
      <c r="BC122" s="9"/>
      <c r="BD122" s="46"/>
      <c r="BE122" s="9"/>
      <c r="BF122" s="9"/>
      <c r="BG122" s="6"/>
      <c r="BH122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topLeftCell="AN1" zoomScale="80" zoomScaleNormal="80" workbookViewId="0">
      <selection activeCell="AX13" sqref="AX13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15.7109375" style="7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9" t="s">
        <v>0</v>
      </c>
      <c r="BA1" s="60"/>
      <c r="BB1" s="60"/>
      <c r="BC1" s="60"/>
      <c r="BD1" s="60"/>
      <c r="BE1" s="60"/>
      <c r="BF1" s="60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5" t="s">
        <v>204</v>
      </c>
      <c r="AW2" s="55" t="s">
        <v>205</v>
      </c>
      <c r="AX2" s="55" t="s">
        <v>206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5" customFormat="1" x14ac:dyDescent="0.25">
      <c r="A3" s="38"/>
      <c r="B3" s="56" t="s">
        <v>207</v>
      </c>
      <c r="C3" s="39"/>
      <c r="D3" s="5" t="s">
        <v>98</v>
      </c>
      <c r="E3" s="26" t="s">
        <v>169</v>
      </c>
      <c r="F3" s="47" t="s">
        <v>95</v>
      </c>
      <c r="G3" s="47" t="s">
        <v>95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0" t="s">
        <v>96</v>
      </c>
      <c r="L3" s="41" t="s">
        <v>54</v>
      </c>
      <c r="M3" s="42" t="s">
        <v>51</v>
      </c>
      <c r="N3" s="42" t="s">
        <v>52</v>
      </c>
      <c r="O3" s="42"/>
      <c r="P3" s="28"/>
      <c r="Q3" s="28"/>
      <c r="R3" s="42" t="s">
        <v>53</v>
      </c>
      <c r="S3" s="42" t="s">
        <v>53</v>
      </c>
      <c r="T3" s="42" t="s">
        <v>53</v>
      </c>
      <c r="U3" s="42" t="s">
        <v>53</v>
      </c>
      <c r="V3" s="39"/>
      <c r="W3" s="39"/>
      <c r="X3" s="42" t="s">
        <v>53</v>
      </c>
      <c r="Y3" s="42">
        <v>2</v>
      </c>
      <c r="Z3" s="39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3"/>
      <c r="AK3" s="43"/>
      <c r="AL3" s="43"/>
      <c r="AM3" s="43"/>
      <c r="AN3" s="43"/>
      <c r="AO3" s="43"/>
      <c r="AP3" s="43"/>
      <c r="AQ3" s="43"/>
      <c r="AR3" s="39">
        <v>0</v>
      </c>
      <c r="AS3" s="39">
        <v>1</v>
      </c>
      <c r="AT3" s="39">
        <v>0</v>
      </c>
      <c r="AU3" s="39">
        <v>1</v>
      </c>
      <c r="AV3" s="39">
        <v>1</v>
      </c>
      <c r="AW3" s="39">
        <v>1</v>
      </c>
      <c r="AX3" s="39">
        <v>1</v>
      </c>
      <c r="AY3" s="44"/>
      <c r="AZ3" s="39"/>
      <c r="BA3" s="39"/>
      <c r="BB3" s="39"/>
      <c r="BC3" s="39"/>
      <c r="BD3" s="39"/>
      <c r="BE3" s="39"/>
      <c r="BF3" s="39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(импульс)", group: "status", minValue: null, maxValue: null, step: null, units: "null", defaultValue: null, eventRegistration: 2</v>
      </c>
    </row>
    <row r="4" spans="1:16379" s="45" customFormat="1" x14ac:dyDescent="0.25">
      <c r="A4" s="38"/>
      <c r="B4" s="56" t="s">
        <v>207</v>
      </c>
      <c r="C4" s="39"/>
      <c r="D4" s="5" t="s">
        <v>98</v>
      </c>
      <c r="E4" s="26" t="s">
        <v>79</v>
      </c>
      <c r="F4" s="47" t="s">
        <v>79</v>
      </c>
      <c r="G4" s="47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0" t="s">
        <v>97</v>
      </c>
      <c r="L4" s="41" t="s">
        <v>54</v>
      </c>
      <c r="M4" s="42" t="s">
        <v>51</v>
      </c>
      <c r="N4" s="42" t="s">
        <v>52</v>
      </c>
      <c r="O4" s="42"/>
      <c r="P4" s="28"/>
      <c r="Q4" s="28"/>
      <c r="R4" s="42" t="s">
        <v>53</v>
      </c>
      <c r="S4" s="42" t="s">
        <v>53</v>
      </c>
      <c r="T4" s="42" t="s">
        <v>53</v>
      </c>
      <c r="U4" s="42" t="s">
        <v>53</v>
      </c>
      <c r="V4" s="39"/>
      <c r="W4" s="39"/>
      <c r="X4" s="42" t="s">
        <v>53</v>
      </c>
      <c r="Y4" s="42">
        <v>2</v>
      </c>
      <c r="Z4" s="39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3"/>
      <c r="AK4" s="43"/>
      <c r="AL4" s="43"/>
      <c r="AM4" s="43"/>
      <c r="AN4" s="43"/>
      <c r="AO4" s="43"/>
      <c r="AP4" s="43"/>
      <c r="AQ4" s="43"/>
      <c r="AR4" s="39">
        <v>0</v>
      </c>
      <c r="AS4" s="39">
        <v>1</v>
      </c>
      <c r="AT4" s="39">
        <v>0</v>
      </c>
      <c r="AU4" s="39">
        <v>1</v>
      </c>
      <c r="AV4" s="39">
        <v>1</v>
      </c>
      <c r="AW4" s="39">
        <v>1</v>
      </c>
      <c r="AX4" s="39">
        <v>1</v>
      </c>
      <c r="AY4" s="44"/>
      <c r="AZ4" s="39"/>
      <c r="BA4" s="39"/>
      <c r="BB4" s="39"/>
      <c r="BC4" s="39"/>
      <c r="BD4" s="39"/>
      <c r="BE4" s="39"/>
      <c r="BF4" s="39"/>
      <c r="BG4" s="29" t="str">
        <f t="shared" si="1"/>
        <v>description: "Пуск", note: "Пуск",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2"/>
  <sheetViews>
    <sheetView tabSelected="1" zoomScale="80" zoomScaleNormal="80" workbookViewId="0">
      <selection activeCell="H2" sqref="H2:H12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58.42578125" style="7" customWidth="1"/>
    <col min="6" max="8" width="23.7109375" style="7" customWidth="1" outlineLevel="1"/>
    <col min="9" max="9" width="40.28515625" style="7" bestFit="1" customWidth="1" outlineLevel="1"/>
    <col min="10" max="10" width="7.28515625" style="7" bestFit="1" customWidth="1"/>
    <col min="11" max="11" width="25.28515625" style="7" bestFit="1" customWidth="1"/>
    <col min="12" max="12" width="29.42578125" style="7" bestFit="1" customWidth="1"/>
    <col min="13" max="13" width="9.42578125" style="7" customWidth="1"/>
    <col min="14" max="15" width="14.28515625" style="7" customWidth="1" outlineLevel="1"/>
    <col min="16" max="16" width="8.85546875" style="7" bestFit="1" customWidth="1" outlineLevel="1"/>
    <col min="17" max="17" width="16" style="7" bestFit="1" customWidth="1" outlineLevel="1"/>
    <col min="18" max="18" width="17.140625" style="7" bestFit="1" customWidth="1" outlineLevel="1"/>
    <col min="19" max="19" width="9.140625" style="8" customWidth="1" outlineLevel="1"/>
    <col min="20" max="20" width="9.5703125" style="9" customWidth="1" outlineLevel="1"/>
    <col min="21" max="21" width="11.28515625" style="9" customWidth="1" outlineLevel="1"/>
    <col min="22" max="22" width="8.28515625" style="9" customWidth="1" outlineLevel="1"/>
    <col min="23" max="23" width="12.5703125" style="9" customWidth="1" outlineLevel="1"/>
    <col min="24" max="24" width="13.5703125" style="9" customWidth="1" outlineLevel="1"/>
    <col min="25" max="25" width="13.140625" style="9" customWidth="1" outlineLevel="1"/>
    <col min="26" max="26" width="9.7109375" style="9" customWidth="1"/>
    <col min="27" max="27" width="12.7109375" style="6" customWidth="1"/>
    <col min="28" max="28" width="14.28515625" style="6" customWidth="1"/>
    <col min="29" max="29" width="16.42578125" style="6" bestFit="1" customWidth="1"/>
    <col min="30" max="30" width="16.7109375" style="6" bestFit="1" customWidth="1"/>
    <col min="31" max="31" width="7.7109375" style="6" bestFit="1" customWidth="1"/>
    <col min="32" max="32" width="33" style="6" customWidth="1"/>
    <col min="33" max="34" width="12.7109375" style="6" customWidth="1"/>
    <col min="35" max="35" width="12.85546875" style="6" customWidth="1"/>
    <col min="36" max="36" width="15.85546875" style="6" bestFit="1" customWidth="1"/>
    <col min="37" max="37" width="24.5703125" style="7" customWidth="1"/>
    <col min="38" max="38" width="26.42578125" style="7" customWidth="1"/>
    <col min="39" max="39" width="22.85546875" style="7" customWidth="1"/>
    <col min="40" max="41" width="24.5703125" style="7" customWidth="1"/>
    <col min="42" max="42" width="15.85546875" style="7" customWidth="1"/>
    <col min="43" max="43" width="29.5703125" style="7" bestFit="1" customWidth="1"/>
    <col min="44" max="44" width="19.140625" style="7" customWidth="1"/>
    <col min="45" max="45" width="13.7109375" style="6" customWidth="1"/>
    <col min="46" max="46" width="15.85546875" style="6" customWidth="1"/>
    <col min="47" max="47" width="17.85546875" style="6" customWidth="1"/>
    <col min="48" max="48" width="9.140625" style="6" customWidth="1"/>
    <col min="49" max="49" width="14" style="6" customWidth="1"/>
    <col min="50" max="50" width="21" style="6" bestFit="1" customWidth="1"/>
    <col min="51" max="51" width="22.28515625" style="6" customWidth="1"/>
    <col min="52" max="52" width="2.5703125" style="9" customWidth="1"/>
    <col min="53" max="53" width="10.5703125" style="9" hidden="1" customWidth="1" outlineLevel="1"/>
    <col min="54" max="54" width="12.140625" style="9" hidden="1" customWidth="1" outlineLevel="1"/>
    <col min="55" max="55" width="13.28515625" style="46" hidden="1" customWidth="1" outlineLevel="1"/>
    <col min="56" max="56" width="13.28515625" style="9" hidden="1" customWidth="1" outlineLevel="1"/>
    <col min="57" max="57" width="13" style="46" hidden="1" customWidth="1" outlineLevel="1"/>
    <col min="58" max="58" width="11.140625" style="9" hidden="1" customWidth="1" outlineLevel="1"/>
    <col min="59" max="59" width="12.7109375" style="9" hidden="1" customWidth="1" outlineLevel="1"/>
    <col min="60" max="60" width="185.28515625" style="6" bestFit="1" customWidth="1" collapsed="1"/>
    <col min="61" max="16384" width="9.140625" style="6"/>
  </cols>
  <sheetData>
    <row r="1" spans="1:16380" x14ac:dyDescent="0.25">
      <c r="E1" s="6"/>
      <c r="K1" s="7">
        <v>19</v>
      </c>
      <c r="AB1" s="10"/>
      <c r="AC1" s="10"/>
      <c r="AD1" s="10"/>
      <c r="AE1" s="10"/>
      <c r="AF1" s="10"/>
      <c r="AG1" s="11"/>
      <c r="AH1" s="11"/>
      <c r="AI1" s="10">
        <f>SUM(AB3:AB4)</f>
        <v>0</v>
      </c>
      <c r="AJ1" s="48"/>
      <c r="AK1" s="12"/>
      <c r="AL1" s="12"/>
      <c r="AM1" s="12"/>
      <c r="AN1" s="12"/>
      <c r="AO1" s="12"/>
      <c r="AP1" s="12"/>
      <c r="AQ1" s="12"/>
      <c r="AR1" s="12"/>
      <c r="AS1" s="48"/>
      <c r="AT1" s="11"/>
      <c r="AU1" s="11"/>
      <c r="AV1" s="11"/>
      <c r="AW1" s="11"/>
      <c r="AX1" s="11"/>
      <c r="AY1" s="11"/>
      <c r="AZ1" s="13"/>
      <c r="BA1" s="59" t="s">
        <v>0</v>
      </c>
      <c r="BB1" s="60"/>
      <c r="BC1" s="60"/>
      <c r="BD1" s="60"/>
      <c r="BE1" s="60"/>
      <c r="BF1" s="60"/>
      <c r="BG1" s="60"/>
    </row>
    <row r="2" spans="1:16380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61" t="s">
        <v>212</v>
      </c>
      <c r="I2" s="14" t="s">
        <v>7</v>
      </c>
      <c r="J2" s="14" t="s">
        <v>8</v>
      </c>
      <c r="K2" s="14" t="s">
        <v>70</v>
      </c>
      <c r="L2" s="18" t="s">
        <v>9</v>
      </c>
      <c r="M2" s="18" t="s">
        <v>10</v>
      </c>
      <c r="N2" s="18" t="s">
        <v>11</v>
      </c>
      <c r="O2" s="18" t="s">
        <v>12</v>
      </c>
      <c r="P2" s="18" t="s">
        <v>68</v>
      </c>
      <c r="Q2" s="18" t="s">
        <v>13</v>
      </c>
      <c r="R2" s="18" t="s">
        <v>14</v>
      </c>
      <c r="S2" s="18" t="s">
        <v>15</v>
      </c>
      <c r="T2" s="18" t="s">
        <v>16</v>
      </c>
      <c r="U2" s="18" t="s">
        <v>17</v>
      </c>
      <c r="V2" s="18" t="s">
        <v>55</v>
      </c>
      <c r="W2" s="18" t="s">
        <v>18</v>
      </c>
      <c r="X2" s="18" t="s">
        <v>19</v>
      </c>
      <c r="Y2" s="19" t="s">
        <v>20</v>
      </c>
      <c r="Z2" s="19" t="s">
        <v>21</v>
      </c>
      <c r="AA2" s="18" t="s">
        <v>22</v>
      </c>
      <c r="AB2" s="19" t="s">
        <v>23</v>
      </c>
      <c r="AC2" s="19" t="s">
        <v>64</v>
      </c>
      <c r="AD2" s="19" t="s">
        <v>65</v>
      </c>
      <c r="AE2" s="19" t="s">
        <v>66</v>
      </c>
      <c r="AF2" s="19" t="s">
        <v>67</v>
      </c>
      <c r="AG2" s="19" t="s">
        <v>24</v>
      </c>
      <c r="AH2" s="19" t="s">
        <v>25</v>
      </c>
      <c r="AI2" s="18" t="s">
        <v>26</v>
      </c>
      <c r="AJ2" s="20" t="s">
        <v>63</v>
      </c>
      <c r="AK2" s="14" t="s">
        <v>27</v>
      </c>
      <c r="AL2" s="14" t="s">
        <v>28</v>
      </c>
      <c r="AM2" s="14" t="s">
        <v>29</v>
      </c>
      <c r="AN2" s="14" t="s">
        <v>30</v>
      </c>
      <c r="AO2" s="14" t="s">
        <v>31</v>
      </c>
      <c r="AP2" s="14" t="s">
        <v>32</v>
      </c>
      <c r="AQ2" s="14" t="s">
        <v>33</v>
      </c>
      <c r="AR2" s="14" t="s">
        <v>34</v>
      </c>
      <c r="AS2" s="18" t="s">
        <v>35</v>
      </c>
      <c r="AT2" s="18" t="s">
        <v>36</v>
      </c>
      <c r="AU2" s="18" t="s">
        <v>37</v>
      </c>
      <c r="AV2" s="18" t="s">
        <v>38</v>
      </c>
      <c r="AW2" s="18" t="s">
        <v>39</v>
      </c>
      <c r="AX2" s="18" t="s">
        <v>40</v>
      </c>
      <c r="AY2" s="18" t="s">
        <v>41</v>
      </c>
      <c r="AZ2" s="19"/>
      <c r="BA2" s="18" t="s">
        <v>42</v>
      </c>
      <c r="BB2" s="18" t="s">
        <v>43</v>
      </c>
      <c r="BC2" s="21" t="s">
        <v>44</v>
      </c>
      <c r="BD2" s="18" t="s">
        <v>45</v>
      </c>
      <c r="BE2" s="21" t="s">
        <v>46</v>
      </c>
      <c r="BF2" s="18" t="s">
        <v>47</v>
      </c>
      <c r="BG2" s="18" t="s">
        <v>48</v>
      </c>
      <c r="BH2" s="19" t="s">
        <v>49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</row>
    <row r="3" spans="1:16380" s="1" customFormat="1" x14ac:dyDescent="0.25">
      <c r="A3" s="38"/>
      <c r="B3" s="38" t="s">
        <v>56</v>
      </c>
      <c r="C3" s="42"/>
      <c r="D3" s="5" t="s">
        <v>98</v>
      </c>
      <c r="E3" s="26" t="s">
        <v>180</v>
      </c>
      <c r="F3" s="26" t="s">
        <v>106</v>
      </c>
      <c r="G3" s="26" t="s">
        <v>75</v>
      </c>
      <c r="H3" s="62" t="s">
        <v>75</v>
      </c>
      <c r="I3" s="26" t="s">
        <v>71</v>
      </c>
      <c r="J3" s="26">
        <f>LEN(F3)</f>
        <v>13</v>
      </c>
      <c r="K3" s="26" t="str">
        <f>IF(LEN(F3)&lt;=$K$1,F3,"")</f>
        <v>Контр_ГЗ_сигн</v>
      </c>
      <c r="L3" s="38" t="s">
        <v>170</v>
      </c>
      <c r="M3" s="41" t="s">
        <v>54</v>
      </c>
      <c r="N3" s="42" t="s">
        <v>52</v>
      </c>
      <c r="O3" s="42" t="s">
        <v>52</v>
      </c>
      <c r="P3" s="42"/>
      <c r="Q3" s="44">
        <v>0</v>
      </c>
      <c r="R3" s="44"/>
      <c r="S3" s="42" t="s">
        <v>53</v>
      </c>
      <c r="T3" s="42">
        <v>0</v>
      </c>
      <c r="U3" s="42">
        <v>1</v>
      </c>
      <c r="V3" s="42">
        <v>1</v>
      </c>
      <c r="W3" s="42"/>
      <c r="X3" s="42"/>
      <c r="Y3" s="42">
        <v>0</v>
      </c>
      <c r="Z3" s="42">
        <v>0</v>
      </c>
      <c r="AA3" s="40"/>
      <c r="AB3" s="31">
        <v>0</v>
      </c>
      <c r="AC3" s="31"/>
      <c r="AD3" s="31"/>
      <c r="AE3" s="31"/>
      <c r="AF3" s="31"/>
      <c r="AG3" s="31">
        <v>0</v>
      </c>
      <c r="AH3" s="31">
        <v>0</v>
      </c>
      <c r="AI3" s="31">
        <v>0</v>
      </c>
      <c r="AJ3" s="31"/>
      <c r="AK3" s="39"/>
      <c r="AL3" s="39"/>
      <c r="AM3" s="39"/>
      <c r="AN3" s="39"/>
      <c r="AO3" s="39"/>
      <c r="AP3" s="39"/>
      <c r="AQ3" s="39"/>
      <c r="AR3" s="39"/>
      <c r="AS3" s="39">
        <v>0</v>
      </c>
      <c r="AT3" s="39">
        <v>0</v>
      </c>
      <c r="AU3" s="39">
        <v>0</v>
      </c>
      <c r="AV3" s="39">
        <v>0</v>
      </c>
      <c r="AW3" s="39">
        <f>BIN2DEC(CONCATENATE(0,0,0,0,AS3,AT3,AU3,AV3))</f>
        <v>0</v>
      </c>
      <c r="AX3" s="39" t="s">
        <v>72</v>
      </c>
      <c r="AY3" s="39"/>
      <c r="AZ3" s="44"/>
      <c r="BA3" s="39"/>
      <c r="BB3" s="39"/>
      <c r="BC3" s="39"/>
      <c r="BD3" s="39"/>
      <c r="BE3" s="39"/>
      <c r="BF3" s="39"/>
      <c r="BG3" s="39"/>
      <c r="BH3" s="2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"Контр_ГЗ_сигн", note: "Контроль сигнала «ГЗ сигн»", group: "setting", minValue: 0, maxValue: 1, step: 1, units: "null", defaultValue: 0, eventRegistration: 0</v>
      </c>
    </row>
    <row r="4" spans="1:16380" s="1" customFormat="1" x14ac:dyDescent="0.25">
      <c r="A4" s="38"/>
      <c r="B4" s="38" t="s">
        <v>56</v>
      </c>
      <c r="C4" s="42"/>
      <c r="D4" s="5" t="s">
        <v>98</v>
      </c>
      <c r="E4" s="26" t="s">
        <v>181</v>
      </c>
      <c r="F4" s="26" t="s">
        <v>182</v>
      </c>
      <c r="G4" s="26" t="s">
        <v>76</v>
      </c>
      <c r="H4" s="62" t="s">
        <v>76</v>
      </c>
      <c r="I4" s="26" t="s">
        <v>71</v>
      </c>
      <c r="J4" s="26">
        <f>LEN(F4)</f>
        <v>17</v>
      </c>
      <c r="K4" s="26" t="str">
        <f>IF(LEN(F4)&lt;=$K$1,F4,"")</f>
        <v>Контр_Низ_изол_ГЗ</v>
      </c>
      <c r="L4" s="38" t="s">
        <v>171</v>
      </c>
      <c r="M4" s="41" t="s">
        <v>54</v>
      </c>
      <c r="N4" s="42" t="s">
        <v>52</v>
      </c>
      <c r="O4" s="42" t="s">
        <v>52</v>
      </c>
      <c r="P4" s="42"/>
      <c r="Q4" s="44">
        <v>0</v>
      </c>
      <c r="R4" s="44"/>
      <c r="S4" s="42" t="s">
        <v>53</v>
      </c>
      <c r="T4" s="42">
        <v>0</v>
      </c>
      <c r="U4" s="42">
        <v>1</v>
      </c>
      <c r="V4" s="42">
        <v>1</v>
      </c>
      <c r="W4" s="42"/>
      <c r="X4" s="42"/>
      <c r="Y4" s="42">
        <v>0</v>
      </c>
      <c r="Z4" s="42">
        <v>0</v>
      </c>
      <c r="AA4" s="40"/>
      <c r="AB4" s="31">
        <v>0</v>
      </c>
      <c r="AC4" s="31"/>
      <c r="AD4" s="31"/>
      <c r="AE4" s="31"/>
      <c r="AF4" s="31"/>
      <c r="AG4" s="31">
        <v>0</v>
      </c>
      <c r="AH4" s="31">
        <v>0</v>
      </c>
      <c r="AI4" s="31">
        <v>0</v>
      </c>
      <c r="AJ4" s="31"/>
      <c r="AK4" s="39"/>
      <c r="AL4" s="39"/>
      <c r="AM4" s="39"/>
      <c r="AN4" s="39"/>
      <c r="AO4" s="39"/>
      <c r="AP4" s="39"/>
      <c r="AQ4" s="39"/>
      <c r="AR4" s="39"/>
      <c r="AS4" s="39">
        <v>0</v>
      </c>
      <c r="AT4" s="39">
        <v>0</v>
      </c>
      <c r="AU4" s="39">
        <v>0</v>
      </c>
      <c r="AV4" s="39">
        <v>0</v>
      </c>
      <c r="AW4" s="39">
        <f>BIN2DEC(CONCATENATE(0,0,0,0,AS4,AT4,AU4,AV4))</f>
        <v>0</v>
      </c>
      <c r="AX4" s="39" t="s">
        <v>72</v>
      </c>
      <c r="AY4" s="39"/>
      <c r="AZ4" s="44"/>
      <c r="BA4" s="39"/>
      <c r="BB4" s="39"/>
      <c r="BC4" s="39"/>
      <c r="BD4" s="39"/>
      <c r="BE4" s="39"/>
      <c r="BF4" s="39"/>
      <c r="BG4" s="39"/>
      <c r="BH4" s="29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"Контр_Низ_изол_ГЗ", note: "Контроль сигнала «Низ. изол. ГЗ»", group: "setting", minValue: 0, maxValue: 1, step: 1, units: "null", defaultValue: 0, eventRegistration: 0</v>
      </c>
    </row>
    <row r="5" spans="1:16380" s="1" customFormat="1" x14ac:dyDescent="0.25">
      <c r="A5" s="38"/>
      <c r="B5" s="38" t="s">
        <v>56</v>
      </c>
      <c r="C5" s="42"/>
      <c r="D5" s="5" t="s">
        <v>98</v>
      </c>
      <c r="E5" s="26" t="s">
        <v>183</v>
      </c>
      <c r="F5" s="26" t="s">
        <v>107</v>
      </c>
      <c r="G5" s="26" t="s">
        <v>77</v>
      </c>
      <c r="H5" s="62" t="s">
        <v>77</v>
      </c>
      <c r="I5" s="26" t="s">
        <v>71</v>
      </c>
      <c r="J5" s="26">
        <f t="shared" ref="J5:J12" si="0">LEN(F5)</f>
        <v>13</v>
      </c>
      <c r="K5" s="26" t="str">
        <f t="shared" ref="K5:K12" si="1">IF(LEN(F5)&lt;=$K$1,F5,"")</f>
        <v>Контр_ГЗ_блок</v>
      </c>
      <c r="L5" s="38" t="s">
        <v>172</v>
      </c>
      <c r="M5" s="41" t="s">
        <v>54</v>
      </c>
      <c r="N5" s="42" t="s">
        <v>52</v>
      </c>
      <c r="O5" s="42" t="s">
        <v>52</v>
      </c>
      <c r="P5" s="42"/>
      <c r="Q5" s="44">
        <v>0</v>
      </c>
      <c r="R5" s="44"/>
      <c r="S5" s="42" t="s">
        <v>53</v>
      </c>
      <c r="T5" s="42">
        <v>0</v>
      </c>
      <c r="U5" s="42">
        <v>1</v>
      </c>
      <c r="V5" s="42">
        <v>1</v>
      </c>
      <c r="W5" s="42"/>
      <c r="X5" s="42"/>
      <c r="Y5" s="42">
        <v>0</v>
      </c>
      <c r="Z5" s="42">
        <v>0</v>
      </c>
      <c r="AA5" s="40"/>
      <c r="AB5" s="31">
        <v>0</v>
      </c>
      <c r="AC5" s="31"/>
      <c r="AD5" s="31"/>
      <c r="AE5" s="31"/>
      <c r="AF5" s="31"/>
      <c r="AG5" s="31">
        <v>0</v>
      </c>
      <c r="AH5" s="31">
        <v>0</v>
      </c>
      <c r="AI5" s="31">
        <v>0</v>
      </c>
      <c r="AJ5" s="31"/>
      <c r="AK5" s="39"/>
      <c r="AL5" s="39"/>
      <c r="AM5" s="39"/>
      <c r="AN5" s="39"/>
      <c r="AO5" s="39"/>
      <c r="AP5" s="39"/>
      <c r="AQ5" s="39"/>
      <c r="AR5" s="39"/>
      <c r="AS5" s="39">
        <v>0</v>
      </c>
      <c r="AT5" s="39">
        <v>0</v>
      </c>
      <c r="AU5" s="39">
        <v>0</v>
      </c>
      <c r="AV5" s="39">
        <v>0</v>
      </c>
      <c r="AW5" s="39">
        <f t="shared" ref="AW5:AW12" si="2">BIN2DEC(CONCATENATE(0,0,0,0,AS5,AT5,AU5,AV5))</f>
        <v>0</v>
      </c>
      <c r="AX5" s="39" t="s">
        <v>72</v>
      </c>
      <c r="AY5" s="39"/>
      <c r="AZ5" s="44"/>
      <c r="BA5" s="39"/>
      <c r="BB5" s="39"/>
      <c r="BC5" s="39"/>
      <c r="BD5" s="39"/>
      <c r="BE5" s="39"/>
      <c r="BF5" s="39"/>
      <c r="BG5" s="39"/>
      <c r="BH5" s="29" t="str">
        <f t="shared" ref="BH5:BH12" si="3">CONCATENATE("description: """,F5,"""", ", ", "note: """,E5,"""",", ","group: """, B5, """",", ","minValue: ", T5,", ","maxValue: ", U5,", ","step: ", V5,", ","units: """, S5, """",", ","defaultValue: ", Y5,", ","eventRegistration: ", Z5,)</f>
        <v>description: "Контр_ГЗ_блок", note: "Контроль сигнала «ГЗ заблокирована»", group: "setting", minValue: 0, maxValue: 1, step: 1, units: "null", defaultValue: 0, eventRegistration: 0</v>
      </c>
    </row>
    <row r="6" spans="1:16380" s="1" customFormat="1" x14ac:dyDescent="0.25">
      <c r="A6" s="38"/>
      <c r="B6" s="38" t="s">
        <v>56</v>
      </c>
      <c r="C6" s="42"/>
      <c r="D6" s="5" t="s">
        <v>98</v>
      </c>
      <c r="E6" s="26" t="s">
        <v>184</v>
      </c>
      <c r="F6" s="26" t="s">
        <v>108</v>
      </c>
      <c r="G6" s="26" t="s">
        <v>78</v>
      </c>
      <c r="H6" s="62" t="s">
        <v>78</v>
      </c>
      <c r="I6" s="26" t="s">
        <v>71</v>
      </c>
      <c r="J6" s="26">
        <f t="shared" si="0"/>
        <v>13</v>
      </c>
      <c r="K6" s="26" t="str">
        <f t="shared" si="1"/>
        <v>Контр_ОТ_сигн</v>
      </c>
      <c r="L6" s="38" t="s">
        <v>173</v>
      </c>
      <c r="M6" s="41" t="s">
        <v>54</v>
      </c>
      <c r="N6" s="42" t="s">
        <v>52</v>
      </c>
      <c r="O6" s="42" t="s">
        <v>52</v>
      </c>
      <c r="P6" s="42"/>
      <c r="Q6" s="44">
        <v>0</v>
      </c>
      <c r="R6" s="44"/>
      <c r="S6" s="42" t="s">
        <v>53</v>
      </c>
      <c r="T6" s="42">
        <v>0</v>
      </c>
      <c r="U6" s="42">
        <v>1</v>
      </c>
      <c r="V6" s="42">
        <v>1</v>
      </c>
      <c r="W6" s="42"/>
      <c r="X6" s="42"/>
      <c r="Y6" s="42">
        <v>0</v>
      </c>
      <c r="Z6" s="42">
        <v>0</v>
      </c>
      <c r="AA6" s="40"/>
      <c r="AB6" s="31">
        <v>0</v>
      </c>
      <c r="AC6" s="31"/>
      <c r="AD6" s="31"/>
      <c r="AE6" s="31"/>
      <c r="AF6" s="31"/>
      <c r="AG6" s="31">
        <v>0</v>
      </c>
      <c r="AH6" s="31">
        <v>0</v>
      </c>
      <c r="AI6" s="31">
        <v>0</v>
      </c>
      <c r="AJ6" s="31"/>
      <c r="AK6" s="39"/>
      <c r="AL6" s="39"/>
      <c r="AM6" s="39"/>
      <c r="AN6" s="39"/>
      <c r="AO6" s="39"/>
      <c r="AP6" s="39"/>
      <c r="AQ6" s="39"/>
      <c r="AR6" s="39"/>
      <c r="AS6" s="39">
        <v>0</v>
      </c>
      <c r="AT6" s="39">
        <v>0</v>
      </c>
      <c r="AU6" s="39">
        <v>0</v>
      </c>
      <c r="AV6" s="39">
        <v>0</v>
      </c>
      <c r="AW6" s="39">
        <f t="shared" si="2"/>
        <v>0</v>
      </c>
      <c r="AX6" s="39" t="s">
        <v>72</v>
      </c>
      <c r="AY6" s="39"/>
      <c r="AZ6" s="44"/>
      <c r="BA6" s="39"/>
      <c r="BB6" s="39"/>
      <c r="BC6" s="39"/>
      <c r="BD6" s="39"/>
      <c r="BE6" s="39"/>
      <c r="BF6" s="39"/>
      <c r="BG6" s="39"/>
      <c r="BH6" s="29" t="str">
        <f t="shared" si="3"/>
        <v>description: "Контр_ОТ_сигн", note: "Контроль сигнала «ОТ сигн»", group: "setting", minValue: 0, maxValue: 1, step: 1, units: "null", defaultValue: 0, eventRegistration: 0</v>
      </c>
    </row>
    <row r="7" spans="1:16380" s="1" customFormat="1" x14ac:dyDescent="0.25">
      <c r="A7" s="38"/>
      <c r="B7" s="38" t="s">
        <v>56</v>
      </c>
      <c r="C7" s="42"/>
      <c r="D7" s="5" t="s">
        <v>98</v>
      </c>
      <c r="E7" s="26" t="s">
        <v>185</v>
      </c>
      <c r="F7" s="26" t="s">
        <v>186</v>
      </c>
      <c r="G7" s="26" t="s">
        <v>80</v>
      </c>
      <c r="H7" s="62" t="s">
        <v>80</v>
      </c>
      <c r="I7" s="26" t="s">
        <v>71</v>
      </c>
      <c r="J7" s="26">
        <f t="shared" ref="J7" si="4">LEN(F7)</f>
        <v>16</v>
      </c>
      <c r="K7" s="26" t="str">
        <f t="shared" ref="K7" si="5">IF(LEN(F7)&lt;=$K$1,F7,"")</f>
        <v>Контр_ОТ_НН_сигн</v>
      </c>
      <c r="L7" s="38" t="s">
        <v>174</v>
      </c>
      <c r="M7" s="41" t="s">
        <v>54</v>
      </c>
      <c r="N7" s="42" t="s">
        <v>52</v>
      </c>
      <c r="O7" s="42" t="s">
        <v>52</v>
      </c>
      <c r="P7" s="42"/>
      <c r="Q7" s="44">
        <v>0</v>
      </c>
      <c r="R7" s="44"/>
      <c r="S7" s="42" t="s">
        <v>53</v>
      </c>
      <c r="T7" s="42">
        <v>0</v>
      </c>
      <c r="U7" s="42">
        <v>1</v>
      </c>
      <c r="V7" s="42">
        <v>1</v>
      </c>
      <c r="W7" s="42"/>
      <c r="X7" s="42"/>
      <c r="Y7" s="42">
        <v>0</v>
      </c>
      <c r="Z7" s="42">
        <v>0</v>
      </c>
      <c r="AA7" s="40"/>
      <c r="AB7" s="31">
        <v>0</v>
      </c>
      <c r="AC7" s="31"/>
      <c r="AD7" s="31"/>
      <c r="AE7" s="31"/>
      <c r="AF7" s="31"/>
      <c r="AG7" s="31">
        <v>0</v>
      </c>
      <c r="AH7" s="31">
        <v>0</v>
      </c>
      <c r="AI7" s="31">
        <v>0</v>
      </c>
      <c r="AJ7" s="31"/>
      <c r="AK7" s="39"/>
      <c r="AL7" s="39"/>
      <c r="AM7" s="39"/>
      <c r="AN7" s="39"/>
      <c r="AO7" s="39"/>
      <c r="AP7" s="39"/>
      <c r="AQ7" s="39"/>
      <c r="AR7" s="39"/>
      <c r="AS7" s="39">
        <v>0</v>
      </c>
      <c r="AT7" s="39">
        <v>0</v>
      </c>
      <c r="AU7" s="39">
        <v>0</v>
      </c>
      <c r="AV7" s="39">
        <v>0</v>
      </c>
      <c r="AW7" s="39">
        <f t="shared" ref="AW7" si="6">BIN2DEC(CONCATENATE(0,0,0,0,AS7,AT7,AU7,AV7))</f>
        <v>0</v>
      </c>
      <c r="AX7" s="39" t="s">
        <v>72</v>
      </c>
      <c r="AY7" s="39"/>
      <c r="AZ7" s="44"/>
      <c r="BA7" s="39"/>
      <c r="BB7" s="39"/>
      <c r="BC7" s="39"/>
      <c r="BD7" s="39"/>
      <c r="BE7" s="39"/>
      <c r="BF7" s="39"/>
      <c r="BG7" s="39"/>
      <c r="BH7" s="29" t="str">
        <f t="shared" ref="BH7" si="7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"Контр_ОТ_НН_сигн", note: "Контроль сигнала «ОТ НН сигн»", group: "setting", minValue: 0, maxValue: 1, step: 1, units: "null", defaultValue: 0, eventRegistration: 0</v>
      </c>
    </row>
    <row r="8" spans="1:16380" s="1" customFormat="1" x14ac:dyDescent="0.25">
      <c r="A8" s="38"/>
      <c r="B8" s="38" t="s">
        <v>56</v>
      </c>
      <c r="C8" s="42"/>
      <c r="D8" s="5" t="s">
        <v>98</v>
      </c>
      <c r="E8" s="26" t="s">
        <v>187</v>
      </c>
      <c r="F8" s="26" t="s">
        <v>188</v>
      </c>
      <c r="G8" s="26" t="s">
        <v>99</v>
      </c>
      <c r="H8" s="62" t="s">
        <v>99</v>
      </c>
      <c r="I8" s="26" t="s">
        <v>71</v>
      </c>
      <c r="J8" s="26">
        <f t="shared" si="0"/>
        <v>15</v>
      </c>
      <c r="K8" s="26" t="str">
        <f t="shared" si="1"/>
        <v>Контр_Внеш_откл</v>
      </c>
      <c r="L8" s="38" t="s">
        <v>175</v>
      </c>
      <c r="M8" s="41" t="s">
        <v>54</v>
      </c>
      <c r="N8" s="42" t="s">
        <v>52</v>
      </c>
      <c r="O8" s="42" t="s">
        <v>52</v>
      </c>
      <c r="P8" s="42"/>
      <c r="Q8" s="44">
        <v>0</v>
      </c>
      <c r="R8" s="44"/>
      <c r="S8" s="42" t="s">
        <v>53</v>
      </c>
      <c r="T8" s="42">
        <v>0</v>
      </c>
      <c r="U8" s="42">
        <v>1</v>
      </c>
      <c r="V8" s="42">
        <v>1</v>
      </c>
      <c r="W8" s="42"/>
      <c r="X8" s="42"/>
      <c r="Y8" s="42">
        <v>0</v>
      </c>
      <c r="Z8" s="42">
        <v>0</v>
      </c>
      <c r="AA8" s="40"/>
      <c r="AB8" s="31">
        <v>0</v>
      </c>
      <c r="AC8" s="31"/>
      <c r="AD8" s="31"/>
      <c r="AE8" s="31"/>
      <c r="AF8" s="31"/>
      <c r="AG8" s="31">
        <v>0</v>
      </c>
      <c r="AH8" s="31">
        <v>0</v>
      </c>
      <c r="AI8" s="31">
        <v>0</v>
      </c>
      <c r="AJ8" s="31"/>
      <c r="AK8" s="39"/>
      <c r="AL8" s="39"/>
      <c r="AM8" s="39"/>
      <c r="AN8" s="39"/>
      <c r="AO8" s="39"/>
      <c r="AP8" s="39"/>
      <c r="AQ8" s="39"/>
      <c r="AR8" s="39"/>
      <c r="AS8" s="39">
        <v>0</v>
      </c>
      <c r="AT8" s="39">
        <v>0</v>
      </c>
      <c r="AU8" s="39">
        <v>0</v>
      </c>
      <c r="AV8" s="39">
        <v>0</v>
      </c>
      <c r="AW8" s="39">
        <f t="shared" si="2"/>
        <v>0</v>
      </c>
      <c r="AX8" s="39" t="s">
        <v>72</v>
      </c>
      <c r="AY8" s="39"/>
      <c r="AZ8" s="44"/>
      <c r="BA8" s="39"/>
      <c r="BB8" s="39"/>
      <c r="BC8" s="39"/>
      <c r="BD8" s="39"/>
      <c r="BE8" s="39"/>
      <c r="BF8" s="39"/>
      <c r="BG8" s="39"/>
      <c r="BH8" s="29" t="str">
        <f t="shared" si="3"/>
        <v>description: "Контр_Внеш_откл", note: "Контроль сигнала «Внеш. откл»", group: "setting", minValue: 0, maxValue: 1, step: 1, units: "null", defaultValue: 0, eventRegistration: 0</v>
      </c>
    </row>
    <row r="9" spans="1:16380" s="1" customFormat="1" x14ac:dyDescent="0.25">
      <c r="A9" s="38"/>
      <c r="B9" s="38" t="s">
        <v>56</v>
      </c>
      <c r="C9" s="42"/>
      <c r="D9" s="5" t="s">
        <v>98</v>
      </c>
      <c r="E9" s="26" t="s">
        <v>189</v>
      </c>
      <c r="F9" s="26" t="s">
        <v>190</v>
      </c>
      <c r="G9" s="26" t="s">
        <v>100</v>
      </c>
      <c r="H9" s="62" t="s">
        <v>100</v>
      </c>
      <c r="I9" s="26" t="s">
        <v>71</v>
      </c>
      <c r="J9" s="26">
        <f t="shared" si="0"/>
        <v>19</v>
      </c>
      <c r="K9" s="26" t="str">
        <f t="shared" si="1"/>
        <v>Контр_Вых_цеп_разоб</v>
      </c>
      <c r="L9" s="38" t="s">
        <v>176</v>
      </c>
      <c r="M9" s="41" t="s">
        <v>54</v>
      </c>
      <c r="N9" s="42" t="s">
        <v>52</v>
      </c>
      <c r="O9" s="42" t="s">
        <v>52</v>
      </c>
      <c r="P9" s="42"/>
      <c r="Q9" s="44">
        <v>0</v>
      </c>
      <c r="R9" s="44"/>
      <c r="S9" s="42" t="s">
        <v>53</v>
      </c>
      <c r="T9" s="42">
        <v>0</v>
      </c>
      <c r="U9" s="42">
        <v>1</v>
      </c>
      <c r="V9" s="42">
        <v>1</v>
      </c>
      <c r="W9" s="42"/>
      <c r="X9" s="42"/>
      <c r="Y9" s="42">
        <v>0</v>
      </c>
      <c r="Z9" s="42">
        <v>0</v>
      </c>
      <c r="AA9" s="40"/>
      <c r="AB9" s="31">
        <v>0</v>
      </c>
      <c r="AC9" s="31"/>
      <c r="AD9" s="31"/>
      <c r="AE9" s="31"/>
      <c r="AF9" s="31"/>
      <c r="AG9" s="31">
        <v>0</v>
      </c>
      <c r="AH9" s="31">
        <v>0</v>
      </c>
      <c r="AI9" s="31">
        <v>0</v>
      </c>
      <c r="AJ9" s="31"/>
      <c r="AK9" s="39"/>
      <c r="AL9" s="39"/>
      <c r="AM9" s="39"/>
      <c r="AN9" s="39"/>
      <c r="AO9" s="39"/>
      <c r="AP9" s="39"/>
      <c r="AQ9" s="39"/>
      <c r="AR9" s="39"/>
      <c r="AS9" s="39">
        <v>0</v>
      </c>
      <c r="AT9" s="39">
        <v>0</v>
      </c>
      <c r="AU9" s="39">
        <v>0</v>
      </c>
      <c r="AV9" s="39">
        <v>0</v>
      </c>
      <c r="AW9" s="39">
        <f t="shared" si="2"/>
        <v>0</v>
      </c>
      <c r="AX9" s="39" t="s">
        <v>72</v>
      </c>
      <c r="AY9" s="39"/>
      <c r="AZ9" s="44"/>
      <c r="BA9" s="39"/>
      <c r="BB9" s="39"/>
      <c r="BC9" s="39"/>
      <c r="BD9" s="39"/>
      <c r="BE9" s="39"/>
      <c r="BF9" s="39"/>
      <c r="BG9" s="39"/>
      <c r="BH9" s="29" t="str">
        <f t="shared" si="3"/>
        <v>description: "Контр_Вых_цеп_разоб", note: "Контроль сигнала «Вых. цепи разобраны»", group: "setting", minValue: 0, maxValue: 1, step: 1, units: "null", defaultValue: 0, eventRegistration: 0</v>
      </c>
    </row>
    <row r="10" spans="1:16380" s="1" customFormat="1" x14ac:dyDescent="0.25">
      <c r="A10" s="38"/>
      <c r="B10" s="38" t="s">
        <v>56</v>
      </c>
      <c r="C10" s="42"/>
      <c r="D10" s="5" t="s">
        <v>98</v>
      </c>
      <c r="E10" s="26" t="s">
        <v>191</v>
      </c>
      <c r="F10" s="26" t="s">
        <v>192</v>
      </c>
      <c r="G10" s="26" t="s">
        <v>101</v>
      </c>
      <c r="H10" s="62" t="s">
        <v>101</v>
      </c>
      <c r="I10" s="26" t="s">
        <v>71</v>
      </c>
      <c r="J10" s="26">
        <f t="shared" si="0"/>
        <v>17</v>
      </c>
      <c r="K10" s="26" t="str">
        <f t="shared" si="1"/>
        <v>Контр_БИ_выведены</v>
      </c>
      <c r="L10" s="38" t="s">
        <v>177</v>
      </c>
      <c r="M10" s="41" t="s">
        <v>54</v>
      </c>
      <c r="N10" s="42" t="s">
        <v>52</v>
      </c>
      <c r="O10" s="42" t="s">
        <v>52</v>
      </c>
      <c r="P10" s="42"/>
      <c r="Q10" s="44">
        <v>0</v>
      </c>
      <c r="R10" s="44"/>
      <c r="S10" s="42" t="s">
        <v>53</v>
      </c>
      <c r="T10" s="42">
        <v>0</v>
      </c>
      <c r="U10" s="42">
        <v>1</v>
      </c>
      <c r="V10" s="42">
        <v>1</v>
      </c>
      <c r="W10" s="42"/>
      <c r="X10" s="42"/>
      <c r="Y10" s="42">
        <v>0</v>
      </c>
      <c r="Z10" s="42">
        <v>0</v>
      </c>
      <c r="AA10" s="40"/>
      <c r="AB10" s="31">
        <v>0</v>
      </c>
      <c r="AC10" s="31"/>
      <c r="AD10" s="31"/>
      <c r="AE10" s="31"/>
      <c r="AF10" s="31"/>
      <c r="AG10" s="31">
        <v>0</v>
      </c>
      <c r="AH10" s="31">
        <v>0</v>
      </c>
      <c r="AI10" s="31">
        <v>0</v>
      </c>
      <c r="AJ10" s="31"/>
      <c r="AK10" s="39"/>
      <c r="AL10" s="39"/>
      <c r="AM10" s="39"/>
      <c r="AN10" s="39"/>
      <c r="AO10" s="39"/>
      <c r="AP10" s="39"/>
      <c r="AQ10" s="39"/>
      <c r="AR10" s="39"/>
      <c r="AS10" s="39">
        <v>0</v>
      </c>
      <c r="AT10" s="39">
        <v>0</v>
      </c>
      <c r="AU10" s="39">
        <v>0</v>
      </c>
      <c r="AV10" s="39">
        <v>0</v>
      </c>
      <c r="AW10" s="39">
        <f t="shared" si="2"/>
        <v>0</v>
      </c>
      <c r="AX10" s="39" t="s">
        <v>72</v>
      </c>
      <c r="AY10" s="39"/>
      <c r="AZ10" s="44"/>
      <c r="BA10" s="39"/>
      <c r="BB10" s="39"/>
      <c r="BC10" s="39"/>
      <c r="BD10" s="39"/>
      <c r="BE10" s="39"/>
      <c r="BF10" s="39"/>
      <c r="BG10" s="39"/>
      <c r="BH10" s="29" t="str">
        <f t="shared" si="3"/>
        <v>description: "Контр_БИ_выведены", note: "Контроль сигнала «БИ выведены»", group: "setting", minValue: 0, maxValue: 1, step: 1, units: "null", defaultValue: 0, eventRegistration: 0</v>
      </c>
    </row>
    <row r="11" spans="1:16380" s="1" customFormat="1" x14ac:dyDescent="0.25">
      <c r="A11" s="38"/>
      <c r="B11" s="38" t="s">
        <v>56</v>
      </c>
      <c r="C11" s="42"/>
      <c r="D11" s="5" t="s">
        <v>98</v>
      </c>
      <c r="E11" s="26" t="s">
        <v>193</v>
      </c>
      <c r="F11" s="26" t="s">
        <v>194</v>
      </c>
      <c r="G11" s="26" t="s">
        <v>102</v>
      </c>
      <c r="H11" s="62" t="s">
        <v>102</v>
      </c>
      <c r="I11" s="26" t="s">
        <v>71</v>
      </c>
      <c r="J11" s="26">
        <f t="shared" si="0"/>
        <v>16</v>
      </c>
      <c r="K11" s="26" t="str">
        <f t="shared" si="1"/>
        <v>Контр_Вр_пркл_КА</v>
      </c>
      <c r="L11" s="38" t="s">
        <v>178</v>
      </c>
      <c r="M11" s="41" t="s">
        <v>54</v>
      </c>
      <c r="N11" s="42" t="s">
        <v>52</v>
      </c>
      <c r="O11" s="42" t="s">
        <v>52</v>
      </c>
      <c r="P11" s="42"/>
      <c r="Q11" s="44">
        <v>0</v>
      </c>
      <c r="R11" s="44"/>
      <c r="S11" s="42" t="s">
        <v>53</v>
      </c>
      <c r="T11" s="42">
        <v>0</v>
      </c>
      <c r="U11" s="42">
        <v>1</v>
      </c>
      <c r="V11" s="42">
        <v>1</v>
      </c>
      <c r="W11" s="42"/>
      <c r="X11" s="42"/>
      <c r="Y11" s="42">
        <v>0</v>
      </c>
      <c r="Z11" s="42">
        <v>0</v>
      </c>
      <c r="AA11" s="40"/>
      <c r="AB11" s="31">
        <v>0</v>
      </c>
      <c r="AC11" s="31"/>
      <c r="AD11" s="31"/>
      <c r="AE11" s="31"/>
      <c r="AF11" s="31"/>
      <c r="AG11" s="31">
        <v>0</v>
      </c>
      <c r="AH11" s="31">
        <v>0</v>
      </c>
      <c r="AI11" s="31">
        <v>0</v>
      </c>
      <c r="AJ11" s="31"/>
      <c r="AK11" s="39"/>
      <c r="AL11" s="39"/>
      <c r="AM11" s="39"/>
      <c r="AN11" s="39"/>
      <c r="AO11" s="39"/>
      <c r="AP11" s="39"/>
      <c r="AQ11" s="39"/>
      <c r="AR11" s="39"/>
      <c r="AS11" s="39">
        <v>0</v>
      </c>
      <c r="AT11" s="39">
        <v>0</v>
      </c>
      <c r="AU11" s="39">
        <v>0</v>
      </c>
      <c r="AV11" s="39">
        <v>0</v>
      </c>
      <c r="AW11" s="39">
        <f t="shared" si="2"/>
        <v>0</v>
      </c>
      <c r="AX11" s="39" t="s">
        <v>72</v>
      </c>
      <c r="AY11" s="39"/>
      <c r="AZ11" s="44"/>
      <c r="BA11" s="39"/>
      <c r="BB11" s="39"/>
      <c r="BC11" s="39"/>
      <c r="BD11" s="39"/>
      <c r="BE11" s="39"/>
      <c r="BF11" s="39"/>
      <c r="BG11" s="39"/>
      <c r="BH11" s="29" t="str">
        <f t="shared" si="3"/>
        <v>description: "Контр_Вр_пркл_КА", note: "Контроль сигнала «Прев. вр. пер. КА»", group: "setting", minValue: 0, maxValue: 1, step: 1, units: "null", defaultValue: 0, eventRegistration: 0</v>
      </c>
    </row>
    <row r="12" spans="1:16380" s="1" customFormat="1" x14ac:dyDescent="0.25">
      <c r="A12" s="38"/>
      <c r="B12" s="38" t="s">
        <v>56</v>
      </c>
      <c r="C12" s="42"/>
      <c r="D12" s="5" t="s">
        <v>98</v>
      </c>
      <c r="E12" s="26" t="s">
        <v>105</v>
      </c>
      <c r="F12" s="26" t="s">
        <v>195</v>
      </c>
      <c r="G12" s="26" t="s">
        <v>103</v>
      </c>
      <c r="H12" s="62" t="s">
        <v>103</v>
      </c>
      <c r="I12" s="26" t="s">
        <v>71</v>
      </c>
      <c r="J12" s="26">
        <f t="shared" si="0"/>
        <v>19</v>
      </c>
      <c r="K12" s="26" t="str">
        <f t="shared" si="1"/>
        <v>Контр_общ_внеш_сигн</v>
      </c>
      <c r="L12" s="38" t="s">
        <v>179</v>
      </c>
      <c r="M12" s="41" t="s">
        <v>54</v>
      </c>
      <c r="N12" s="42" t="s">
        <v>52</v>
      </c>
      <c r="O12" s="42" t="s">
        <v>52</v>
      </c>
      <c r="P12" s="42"/>
      <c r="Q12" s="44">
        <v>0</v>
      </c>
      <c r="R12" s="44"/>
      <c r="S12" s="42" t="s">
        <v>53</v>
      </c>
      <c r="T12" s="42">
        <v>0</v>
      </c>
      <c r="U12" s="42">
        <v>1</v>
      </c>
      <c r="V12" s="42">
        <v>1</v>
      </c>
      <c r="W12" s="42"/>
      <c r="X12" s="42"/>
      <c r="Y12" s="42">
        <v>0</v>
      </c>
      <c r="Z12" s="42">
        <v>0</v>
      </c>
      <c r="AA12" s="40"/>
      <c r="AB12" s="31">
        <v>0</v>
      </c>
      <c r="AC12" s="31"/>
      <c r="AD12" s="31"/>
      <c r="AE12" s="31"/>
      <c r="AF12" s="31"/>
      <c r="AG12" s="31">
        <v>0</v>
      </c>
      <c r="AH12" s="31">
        <v>0</v>
      </c>
      <c r="AI12" s="31">
        <v>0</v>
      </c>
      <c r="AJ12" s="31"/>
      <c r="AK12" s="39"/>
      <c r="AL12" s="39"/>
      <c r="AM12" s="39"/>
      <c r="AN12" s="39"/>
      <c r="AO12" s="39"/>
      <c r="AP12" s="39"/>
      <c r="AQ12" s="39"/>
      <c r="AR12" s="39"/>
      <c r="AS12" s="39">
        <v>0</v>
      </c>
      <c r="AT12" s="39">
        <v>0</v>
      </c>
      <c r="AU12" s="39">
        <v>0</v>
      </c>
      <c r="AV12" s="39">
        <v>0</v>
      </c>
      <c r="AW12" s="39">
        <f t="shared" si="2"/>
        <v>0</v>
      </c>
      <c r="AX12" s="39" t="s">
        <v>72</v>
      </c>
      <c r="AY12" s="39"/>
      <c r="AZ12" s="44"/>
      <c r="BA12" s="39"/>
      <c r="BB12" s="39"/>
      <c r="BC12" s="39"/>
      <c r="BD12" s="39"/>
      <c r="BE12" s="39"/>
      <c r="BF12" s="39"/>
      <c r="BG12" s="39"/>
      <c r="BH12" s="29" t="str">
        <f t="shared" si="3"/>
        <v>description: "Контр_общ_внеш_сигн", note: "Контроль общего внешнего сигнала",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G14" sqref="G14"/>
    </sheetView>
  </sheetViews>
  <sheetFormatPr defaultRowHeight="15.75" x14ac:dyDescent="0.25"/>
  <cols>
    <col min="1" max="1" width="22.42578125" style="3" customWidth="1"/>
    <col min="2" max="2" width="43.5703125" style="3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49" t="s">
        <v>59</v>
      </c>
      <c r="B3" s="4" t="s">
        <v>98</v>
      </c>
    </row>
    <row r="4" spans="1:2" x14ac:dyDescent="0.25">
      <c r="A4" s="49" t="s">
        <v>60</v>
      </c>
      <c r="B4" s="51">
        <v>580</v>
      </c>
    </row>
    <row r="5" spans="1:2" x14ac:dyDescent="0.25">
      <c r="A5" s="49" t="s">
        <v>61</v>
      </c>
      <c r="B5" s="50" t="s">
        <v>52</v>
      </c>
    </row>
    <row r="6" spans="1:2" x14ac:dyDescent="0.25">
      <c r="A6" s="52" t="s">
        <v>62</v>
      </c>
      <c r="B6" s="50" t="s">
        <v>211</v>
      </c>
    </row>
    <row r="7" spans="1:2" x14ac:dyDescent="0.25">
      <c r="A7" s="52" t="s">
        <v>104</v>
      </c>
      <c r="B7" s="50">
        <v>1</v>
      </c>
    </row>
    <row r="8" spans="1:2" x14ac:dyDescent="0.25">
      <c r="A8" s="57" t="s">
        <v>208</v>
      </c>
      <c r="B8" t="s">
        <v>209</v>
      </c>
    </row>
    <row r="9" spans="1:2" x14ac:dyDescent="0.25">
      <c r="A9" s="57" t="s">
        <v>210</v>
      </c>
      <c r="B9" s="57"/>
    </row>
    <row r="10" spans="1:2" x14ac:dyDescent="0.25">
      <c r="A10" s="58" t="s">
        <v>98</v>
      </c>
      <c r="B10" t="s">
        <v>209</v>
      </c>
    </row>
    <row r="11" spans="1:2" x14ac:dyDescent="0.25">
      <c r="A11" s="57" t="s">
        <v>210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2025-07-18T11:29:11Z</dcterms:modified>
</cp:coreProperties>
</file>