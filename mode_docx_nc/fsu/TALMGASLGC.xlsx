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7525" windowHeight="1155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V11" i="5" l="1"/>
  <c r="AV10" i="5"/>
  <c r="AV9" i="5"/>
  <c r="AV8" i="5"/>
  <c r="BG7" i="5"/>
  <c r="J7" i="5"/>
  <c r="I7" i="5"/>
  <c r="BG5" i="5"/>
  <c r="J5" i="5"/>
  <c r="I5" i="5"/>
  <c r="BG6" i="4"/>
  <c r="AV6" i="4"/>
  <c r="J6" i="4"/>
  <c r="I6" i="4"/>
  <c r="BG4" i="4"/>
  <c r="AV4" i="4"/>
  <c r="J4" i="4"/>
  <c r="I4" i="4"/>
  <c r="BG5" i="4"/>
  <c r="AV5" i="4"/>
  <c r="J5" i="4"/>
  <c r="I5" i="4"/>
  <c r="K4" i="6"/>
  <c r="BH4" i="6"/>
  <c r="AW4" i="6"/>
  <c r="J4" i="6"/>
  <c r="BH5" i="6"/>
  <c r="AW5" i="6"/>
  <c r="K5" i="6"/>
  <c r="J5" i="6"/>
  <c r="BH3" i="6"/>
  <c r="AW3" i="6"/>
  <c r="K3" i="6"/>
  <c r="J3" i="6"/>
  <c r="AI1" i="6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6" i="5"/>
  <c r="AP7" i="5"/>
  <c r="J6" i="5"/>
  <c r="I6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<sst xmlns="http://schemas.openxmlformats.org/spreadsheetml/2006/main" count="522" uniqueCount="179">
  <si>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</si>
  <si>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</si>
  <si>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</si>
  <si>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</si>
  <si>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</si>
  <si>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</si>
  <si>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</si>
  <si>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</si>
  <si>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</si>
  <si>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</si>
  <si>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</si>
  <si>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</si>
  <si>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</si>
  <si>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</si>
  <si>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</si>
  <si>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</si>
  <si>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</si>
  <si>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</si>
  <si>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</si>
  <si>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</si>
  <si>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</si>
  <si>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</si>
  <si>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</si>
  <si>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</si>
  <si>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</si>
  <si>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</si>
  <si>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</si>
  <si>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</si>
  <si>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</si>
  <si>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</si>
  <si>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</si>
  <si>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</si>
  <si>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</si>
  <si>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</si>
  <si>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</si>
  <si>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</si>
  <si>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</si>
  <si>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</si>
  <si>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</si>
  <si>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</si>
  <si>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</si>
  <si>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</si>
  <si>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</si>
  <si>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</si>
  <si>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</si>
  <si>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</si>
  <si>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</si>
  <si>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</si>
  <si>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</si>
  <si>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</si>
  <si>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</si>
  <si>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</si>
  <si>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</si>
  <si>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</si>
  <si>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</si>
  <si>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</si>
  <si>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</si>
  <si>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</si>
  <si>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</si>
  <si>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</si>
  <si>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</si>
  <si>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</si>
  <si>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</si>
  <si>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</si>
  <si>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</si>
  <si>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</si>
  <si>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</si>
  <si>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</si>
  <si>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</si>
  <si>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</si>
  <si>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</si>
  <si>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</si>
  <si>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</si>
  <si>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</si>
  <si>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</si>
  <si>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</si>
  <si>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</si>
  <si>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</si>
  <si>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</si>
  <si>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</si>
  <si>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</si>
  <si>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</si>
  <si>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</si>
  <si>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</si>
  <si>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</si>
  <si>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</si>
  <si>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</si>
  <si>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</si>
  <si>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</si>
  <si>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</si>
  <si>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</si>
  <si>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</si>
  <si>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</si>
  <si>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</si>
  <si>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</si>
  <si>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</si>
  <si>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</si>
  <si>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</si>
  <si>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</si>
  <si>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</si>
  <si>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</si>
  <si>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</si>
  <si>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</si>
  <si>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</si>
  <si>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</si>
  <si>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</si>
  <si>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</si>
  <si>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</si>
  <si>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</si>
  <si>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 на блокировку</t>
  </si>
  <si>
    <t>TALMGASLGC</t>
  </si>
  <si>
    <t>PTRC1_FuncEnabled</t>
  </si>
  <si>
    <t>PTRC1_FuncOperDisabled</t>
  </si>
  <si>
    <t>PTRC1_BlockGASProtSign</t>
  </si>
  <si>
    <t>PTRC1_Beh</t>
  </si>
  <si>
    <t>PTRC1_Health</t>
  </si>
  <si>
    <t>PTRC1_EnaDis</t>
  </si>
  <si>
    <t>PTRC1_TopOnBlk</t>
  </si>
  <si>
    <t>PTRC1_LowIsolSignCtrl</t>
  </si>
  <si>
    <t>LVTECHPTRC</t>
  </si>
  <si>
    <t>PTRC1.Op</t>
  </si>
  <si>
    <t>PTRC1.Beh</t>
  </si>
  <si>
    <t>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</si>
  <si>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</si>
  <si>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</si>
  <si>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</si>
  <si>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</si>
  <si>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ЛО ГЗсигн</t>
  </si>
  <si>
    <t>Перевод ГЗсигн на отключение</t>
  </si>
  <si>
    <t>TALMGASLGC_operOutFunction</t>
  </si>
  <si>
    <t>TALMGASLGC_SignBlockSet</t>
  </si>
  <si>
    <t>ResetProtBlocking</t>
  </si>
  <si>
    <t>Оперативный вывод</t>
  </si>
  <si>
    <t>Заблокировано</t>
  </si>
  <si>
    <t>Индикация поведения логического узла ЛО ГЗсигн</t>
  </si>
  <si>
    <t>Индикация исправности логического узла ЛО ГЗсигн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</si>
  <si>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</si>
  <si>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</si>
  <si>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</si>
  <si>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</si>
  <si>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</si>
  <si>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ГЗсигн</t>
  </si>
  <si>
    <t>Блокировка ГЗсигн</t>
  </si>
  <si>
    <t>SGF1</t>
  </si>
  <si>
    <t>SGF2</t>
  </si>
  <si>
    <t>T1</t>
  </si>
  <si>
    <t>Тбл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</si>
  <si>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</si>
  <si>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</si>
  <si>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</si>
  <si>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</si>
  <si>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</si>
  <si>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</si>
  <si>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</si>
  <si>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LLN0.GrRef</t>
  </si>
  <si>
    <t>SignContact</t>
  </si>
  <si>
    <t>GASSignIsolOp</t>
  </si>
  <si>
    <t>Срабатывание устройства контроля изоляции ГЗсигн</t>
  </si>
  <si>
    <t>Срабатывание сигнального контакта газового реле</t>
  </si>
  <si>
    <t>FbVersion</t>
  </si>
  <si>
    <t>ЛО</t>
  </si>
  <si>
    <t>Сброс</t>
  </si>
  <si>
    <t>control</t>
  </si>
  <si>
    <t>input</t>
  </si>
  <si>
    <t>reserved1</t>
  </si>
  <si>
    <t>button</t>
  </si>
  <si>
    <t>status</t>
  </si>
  <si>
    <t>Logger</t>
  </si>
  <si>
    <t>Disturber</t>
  </si>
  <si>
    <t>StartDisturber</t>
  </si>
  <si>
    <t>DescriptionFB</t>
  </si>
  <si>
    <t>DescriptionFuncList</t>
  </si>
  <si>
    <t>Логика отключения</t>
  </si>
  <si>
    <t>Логика отключения при срабатывании сигнального контакта газового реле</t>
  </si>
  <si>
    <t>Сигн.конт.газ.реле</t>
  </si>
  <si>
    <t>ЛО ГЗсигн на откл</t>
  </si>
  <si>
    <t>Сраб. КИ ГЗсигн</t>
  </si>
  <si>
    <t>ОВ ЛО ГЗсигн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</si>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</sst>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D1" zoomScale="130" zoomScaleNormal="130" workbookViewId="0">
      <selection activeCell="F4" sqref="F4:G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5.42578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0.4257812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9" t="s">
        <v>167</v>
      </c>
      <c r="AW2" s="59" t="s">
        <v>168</v>
      </c>
      <c r="AX2" s="59" t="s">
        <v>169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57" t="s">
        <v>164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6"/>
      <c r="B3" s="55" t="s">
        <v>162</v>
      </c>
      <c r="C3" s="17"/>
      <c r="D3" s="18"/>
      <c r="E3" s="19" t="s">
        <v>125</v>
      </c>
      <c r="F3" s="20" t="s">
        <v>125</v>
      </c>
      <c r="G3" s="20" t="s">
        <v>125</v>
      </c>
      <c r="H3" s="19"/>
      <c r="I3" s="19">
        <f t="shared" ref="I3:I8" si="0">LEN(F3)</f>
        <v>15</v>
      </c>
      <c r="J3" s="19" t="str">
        <f t="shared" ref="J3:J11" si="1">IF(LEN(F3)&lt;=$J$1,F3,"")</f>
        <v>Вывод терминала</v>
      </c>
      <c r="K3" s="16" t="s">
        <v>126</v>
      </c>
      <c r="L3" s="21" t="s">
        <v>63</v>
      </c>
      <c r="M3" s="17" t="s">
        <v>60</v>
      </c>
      <c r="N3" s="17" t="s">
        <v>61</v>
      </c>
      <c r="O3" s="17"/>
      <c r="P3" s="22"/>
      <c r="Q3" s="22"/>
      <c r="R3" s="23" t="s">
        <v>62</v>
      </c>
      <c r="S3" s="17" t="s">
        <v>62</v>
      </c>
      <c r="T3" s="17" t="s">
        <v>62</v>
      </c>
      <c r="U3" s="17" t="s">
        <v>62</v>
      </c>
      <c r="V3" s="17"/>
      <c r="W3" s="17"/>
      <c r="X3" s="17" t="s">
        <v>62</v>
      </c>
      <c r="Y3" s="17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11" si="2">BIN2DEC(CONCATENATE(0,0,0,0,AR3,AS3,AT3,AU3))</f>
        <v>0</v>
      </c>
      <c r="AW3" s="25">
        <v>0</v>
      </c>
      <c r="AX3" s="25">
        <v>0</v>
      </c>
      <c r="AY3" s="25"/>
      <c r="AZ3" s="22"/>
      <c r="BA3" s="25"/>
      <c r="BB3" s="25"/>
      <c r="BC3" s="29"/>
      <c r="BD3" s="25"/>
      <c r="BE3" s="30"/>
      <c r="BF3" s="25"/>
      <c r="BG3" s="31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2"/>
    </row>
    <row r="4" spans="1:16379" s="53" customFormat="1" ht="15.75" customHeight="1" x14ac:dyDescent="0.25">
      <c r="A4" s="16"/>
      <c r="B4" s="55" t="s">
        <v>162</v>
      </c>
      <c r="C4" s="17"/>
      <c r="D4" s="18" t="s">
        <v>127</v>
      </c>
      <c r="E4" s="19" t="s">
        <v>141</v>
      </c>
      <c r="F4" s="61" t="s">
        <v>177</v>
      </c>
      <c r="G4" s="61" t="s">
        <v>177</v>
      </c>
      <c r="H4" s="19"/>
      <c r="I4" s="19">
        <f t="shared" ref="I4" si="4">LEN(F4)</f>
        <v>12</v>
      </c>
      <c r="J4" s="19" t="str">
        <f t="shared" ref="J4" si="5">IF(LEN(F4)&lt;=$J$1,F4,"")</f>
        <v>ОВ ЛО ГЗсигн</v>
      </c>
      <c r="K4" s="16" t="s">
        <v>129</v>
      </c>
      <c r="L4" s="21" t="s">
        <v>63</v>
      </c>
      <c r="M4" s="17" t="s">
        <v>60</v>
      </c>
      <c r="N4" s="17" t="s">
        <v>61</v>
      </c>
      <c r="O4" s="17"/>
      <c r="P4" s="22"/>
      <c r="Q4" s="22"/>
      <c r="R4" s="23" t="s">
        <v>62</v>
      </c>
      <c r="S4" s="17" t="s">
        <v>62</v>
      </c>
      <c r="T4" s="17" t="s">
        <v>62</v>
      </c>
      <c r="U4" s="17" t="s">
        <v>62</v>
      </c>
      <c r="V4" s="17"/>
      <c r="W4" s="17"/>
      <c r="X4" s="17" t="s">
        <v>62</v>
      </c>
      <c r="Y4" s="17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6">BIN2DEC(CONCATENATE(0,0,0,0,AR4,AS4,AT4,AU4))</f>
        <v>0</v>
      </c>
      <c r="AW4" s="25">
        <v>0</v>
      </c>
      <c r="AX4" s="25">
        <v>0</v>
      </c>
      <c r="AY4" s="25"/>
      <c r="AZ4" s="22"/>
      <c r="BA4" s="25"/>
      <c r="BB4" s="25"/>
      <c r="BC4" s="29"/>
      <c r="BD4" s="25"/>
      <c r="BE4" s="30"/>
      <c r="BF4" s="25"/>
      <c r="BG4" s="3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ГЗсигн", note: "Оперативный вывод функции ГЗсигн", group: "control", minValue: null, maxValue: null, step: null, units: "null", defaultValue: null, eventRegistration: 0</v>
      </c>
      <c r="BH4" s="32"/>
    </row>
    <row r="5" spans="1:16379" s="53" customFormat="1" ht="15.75" customHeight="1" x14ac:dyDescent="0.25">
      <c r="A5" s="16"/>
      <c r="B5" s="55" t="s">
        <v>162</v>
      </c>
      <c r="C5" s="17"/>
      <c r="D5" s="18"/>
      <c r="E5" s="19" t="s">
        <v>128</v>
      </c>
      <c r="F5" s="61" t="s">
        <v>175</v>
      </c>
      <c r="G5" s="61" t="s">
        <v>175</v>
      </c>
      <c r="H5" s="19"/>
      <c r="I5" s="19">
        <f t="shared" ref="I5" si="8">LEN(F5)</f>
        <v>17</v>
      </c>
      <c r="J5" s="19" t="str">
        <f t="shared" ref="J5" si="9">IF(LEN(F5)&lt;=$J$1,F5,"")</f>
        <v>ЛО ГЗсигн на откл</v>
      </c>
      <c r="K5" s="16" t="s">
        <v>130</v>
      </c>
      <c r="L5" s="21" t="s">
        <v>63</v>
      </c>
      <c r="M5" s="17" t="s">
        <v>60</v>
      </c>
      <c r="N5" s="17" t="s">
        <v>61</v>
      </c>
      <c r="O5" s="17"/>
      <c r="P5" s="22"/>
      <c r="Q5" s="22"/>
      <c r="R5" s="23" t="s">
        <v>62</v>
      </c>
      <c r="S5" s="17" t="s">
        <v>62</v>
      </c>
      <c r="T5" s="17" t="s">
        <v>62</v>
      </c>
      <c r="U5" s="17" t="s">
        <v>62</v>
      </c>
      <c r="V5" s="17"/>
      <c r="W5" s="17"/>
      <c r="X5" s="17" t="s">
        <v>62</v>
      </c>
      <c r="Y5" s="17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10">BIN2DEC(CONCATENATE(0,0,0,0,AR5,AS5,AT5,AU5))</f>
        <v>0</v>
      </c>
      <c r="AW5" s="25">
        <v>0</v>
      </c>
      <c r="AX5" s="25">
        <v>0</v>
      </c>
      <c r="AY5" s="25"/>
      <c r="AZ5" s="22"/>
      <c r="BA5" s="25"/>
      <c r="BB5" s="25"/>
      <c r="BC5" s="29"/>
      <c r="BD5" s="25"/>
      <c r="BE5" s="30"/>
      <c r="BF5" s="25"/>
      <c r="BG5" s="3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"ЛО ГЗсигн на откл", note: "Перевод ГЗсигн на отключение", group: "control", minValue: null, maxValue: null, step: null, units: "null", defaultValue: null, eventRegistration: 0</v>
      </c>
      <c r="BH5" s="32"/>
    </row>
    <row r="6" spans="1:16379" s="53" customFormat="1" ht="15.75" customHeight="1" x14ac:dyDescent="0.25">
      <c r="A6" s="16"/>
      <c r="B6" s="56" t="s">
        <v>163</v>
      </c>
      <c r="C6" s="17"/>
      <c r="D6" s="18"/>
      <c r="E6" s="19" t="s">
        <v>158</v>
      </c>
      <c r="F6" s="61" t="s">
        <v>174</v>
      </c>
      <c r="G6" s="61" t="s">
        <v>174</v>
      </c>
      <c r="H6" s="19"/>
      <c r="I6" s="19">
        <f t="shared" ref="I6" si="12">LEN(F6)</f>
        <v>18</v>
      </c>
      <c r="J6" s="19" t="str">
        <f t="shared" ref="J6" si="13">IF(LEN(F6)&lt;=$J$1,F6,"")</f>
        <v>Сигн.конт.газ.реле</v>
      </c>
      <c r="K6" s="16" t="s">
        <v>155</v>
      </c>
      <c r="L6" s="21" t="s">
        <v>63</v>
      </c>
      <c r="M6" s="17" t="s">
        <v>60</v>
      </c>
      <c r="N6" s="17" t="s">
        <v>61</v>
      </c>
      <c r="O6" s="17"/>
      <c r="P6" s="22"/>
      <c r="Q6" s="22"/>
      <c r="R6" s="23" t="s">
        <v>62</v>
      </c>
      <c r="S6" s="17" t="s">
        <v>62</v>
      </c>
      <c r="T6" s="17" t="s">
        <v>62</v>
      </c>
      <c r="U6" s="17" t="s">
        <v>62</v>
      </c>
      <c r="V6" s="17"/>
      <c r="W6" s="17"/>
      <c r="X6" s="17" t="s">
        <v>62</v>
      </c>
      <c r="Y6" s="17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4">BIN2DEC(CONCATENATE(0,0,0,0,AR6,AS6,AT6,AU6))</f>
        <v>0</v>
      </c>
      <c r="AW6" s="25">
        <v>0</v>
      </c>
      <c r="AX6" s="25">
        <v>0</v>
      </c>
      <c r="AY6" s="25"/>
      <c r="AZ6" s="22"/>
      <c r="BA6" s="25"/>
      <c r="BB6" s="25"/>
      <c r="BC6" s="29"/>
      <c r="BD6" s="25"/>
      <c r="BE6" s="30"/>
      <c r="BF6" s="25"/>
      <c r="BG6" s="3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"Сигн.конт.газ.реле", note: "Срабатывание сигнального контакта газового реле", group: "input", minValue: null, maxValue: null, step: null, units: "null", defaultValue: null, eventRegistration: 0</v>
      </c>
      <c r="BH6" s="32"/>
    </row>
    <row r="7" spans="1:16379" s="53" customFormat="1" ht="15.75" customHeight="1" x14ac:dyDescent="0.25">
      <c r="A7" s="16"/>
      <c r="B7" s="56" t="s">
        <v>163</v>
      </c>
      <c r="C7" s="17"/>
      <c r="D7" s="18"/>
      <c r="E7" s="19" t="s">
        <v>157</v>
      </c>
      <c r="F7" s="61" t="s">
        <v>176</v>
      </c>
      <c r="G7" s="61" t="s">
        <v>176</v>
      </c>
      <c r="H7" s="19"/>
      <c r="I7" s="19">
        <f t="shared" si="0"/>
        <v>15</v>
      </c>
      <c r="J7" s="19" t="str">
        <f t="shared" si="1"/>
        <v>Сраб. КИ ГЗсигн</v>
      </c>
      <c r="K7" s="16" t="s">
        <v>156</v>
      </c>
      <c r="L7" s="21" t="s">
        <v>63</v>
      </c>
      <c r="M7" s="17" t="s">
        <v>60</v>
      </c>
      <c r="N7" s="17" t="s">
        <v>61</v>
      </c>
      <c r="O7" s="17"/>
      <c r="P7" s="22"/>
      <c r="Q7" s="22"/>
      <c r="R7" s="23" t="s">
        <v>62</v>
      </c>
      <c r="S7" s="17" t="s">
        <v>62</v>
      </c>
      <c r="T7" s="17" t="s">
        <v>62</v>
      </c>
      <c r="U7" s="17" t="s">
        <v>62</v>
      </c>
      <c r="V7" s="17"/>
      <c r="W7" s="17"/>
      <c r="X7" s="17" t="s">
        <v>62</v>
      </c>
      <c r="Y7" s="17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>
        <v>0</v>
      </c>
      <c r="AX7" s="25">
        <v>0</v>
      </c>
      <c r="AY7" s="25"/>
      <c r="AZ7" s="22"/>
      <c r="BA7" s="25"/>
      <c r="BB7" s="25"/>
      <c r="BC7" s="29"/>
      <c r="BD7" s="25"/>
      <c r="BE7" s="30"/>
      <c r="BF7" s="25"/>
      <c r="BG7" s="31" t="str">
        <f t="shared" si="3"/>
        <v>description: "Сраб. КИ ГЗсигн", note: "Срабатывание устройства контроля изоляции ГЗсигн", group: "input", minValue: null, maxValue: null, step: null, units: "null", defaultValue: null, eventRegistration: 0</v>
      </c>
      <c r="BH7" s="32"/>
    </row>
    <row r="8" spans="1:16379" s="53" customFormat="1" ht="15.75" customHeight="1" x14ac:dyDescent="0.25">
      <c r="A8" s="16"/>
      <c r="B8" s="55" t="s">
        <v>162</v>
      </c>
      <c r="C8" s="17"/>
      <c r="D8" s="18"/>
      <c r="E8" s="19" t="s">
        <v>161</v>
      </c>
      <c r="F8" s="20" t="s">
        <v>161</v>
      </c>
      <c r="G8" s="20" t="s">
        <v>161</v>
      </c>
      <c r="H8" s="19"/>
      <c r="I8" s="19">
        <f t="shared" si="0"/>
        <v>5</v>
      </c>
      <c r="J8" s="19" t="str">
        <f t="shared" si="1"/>
        <v>Сброс</v>
      </c>
      <c r="K8" s="16" t="s">
        <v>131</v>
      </c>
      <c r="L8" s="21" t="s">
        <v>63</v>
      </c>
      <c r="M8" s="17" t="s">
        <v>60</v>
      </c>
      <c r="N8" s="17" t="s">
        <v>61</v>
      </c>
      <c r="O8" s="17"/>
      <c r="P8" s="22"/>
      <c r="Q8" s="22"/>
      <c r="R8" s="23" t="s">
        <v>62</v>
      </c>
      <c r="S8" s="17" t="s">
        <v>62</v>
      </c>
      <c r="T8" s="17" t="s">
        <v>62</v>
      </c>
      <c r="U8" s="17" t="s">
        <v>62</v>
      </c>
      <c r="V8" s="17"/>
      <c r="W8" s="17"/>
      <c r="X8" s="17" t="s">
        <v>62</v>
      </c>
      <c r="Y8" s="17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>
        <v>0</v>
      </c>
      <c r="AX8" s="25">
        <v>0</v>
      </c>
      <c r="AY8" s="25"/>
      <c r="AZ8" s="22"/>
      <c r="BA8" s="25"/>
      <c r="BB8" s="25"/>
      <c r="BC8" s="29"/>
      <c r="BD8" s="25"/>
      <c r="BE8" s="30"/>
      <c r="BF8" s="25"/>
      <c r="BG8" s="31" t="str">
        <f t="shared" si="3"/>
        <v>description: "Сброс", note: "Сброс", group: "control", minValue: null, maxValue: null, step: null, units: "null", defaultValue: null, eventRegistration: 0</v>
      </c>
      <c r="BH8" s="32" t="s">
        <v>165</v>
      </c>
    </row>
    <row r="9" spans="1:16379" s="40" customFormat="1" ht="15.75" x14ac:dyDescent="0.25">
      <c r="A9" s="33"/>
      <c r="B9" s="16" t="s">
        <v>59</v>
      </c>
      <c r="C9" s="34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5" t="s">
        <v>68</v>
      </c>
      <c r="L9" s="36" t="s">
        <v>66</v>
      </c>
      <c r="M9" s="17" t="s">
        <v>60</v>
      </c>
      <c r="N9" s="17" t="s">
        <v>61</v>
      </c>
      <c r="O9" s="17"/>
      <c r="P9" s="34"/>
      <c r="Q9" s="34"/>
      <c r="R9" s="17" t="s">
        <v>62</v>
      </c>
      <c r="S9" s="17" t="s">
        <v>62</v>
      </c>
      <c r="T9" s="17" t="s">
        <v>62</v>
      </c>
      <c r="U9" s="17" t="s">
        <v>62</v>
      </c>
      <c r="V9" s="34"/>
      <c r="W9" s="34"/>
      <c r="X9" s="1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154</v>
      </c>
      <c r="AK9" s="38" t="s">
        <v>69</v>
      </c>
      <c r="AL9" s="38" t="s">
        <v>70</v>
      </c>
      <c r="AM9" s="38" t="s">
        <v>71</v>
      </c>
      <c r="AN9" s="38"/>
      <c r="AO9" s="38" t="s">
        <v>72</v>
      </c>
      <c r="AP9" s="38" t="str">
        <f>CONCATENATE(AJ9, ".", AL9)</f>
        <v>LLN0.GrRef.setSrcRef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39"/>
      <c r="AZ9" s="34"/>
      <c r="BA9" s="34"/>
      <c r="BB9" s="34"/>
      <c r="BC9" s="34"/>
      <c r="BD9" s="34"/>
      <c r="BE9" s="34"/>
      <c r="BF9" s="34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16" t="s">
        <v>59</v>
      </c>
      <c r="C10" s="34"/>
      <c r="D10" s="8"/>
      <c r="E10" s="20" t="s">
        <v>78</v>
      </c>
      <c r="F10" s="20" t="s">
        <v>79</v>
      </c>
      <c r="G10" s="20" t="s">
        <v>79</v>
      </c>
      <c r="H10" s="8"/>
      <c r="I10" s="19">
        <f>LEN(F10)</f>
        <v>8</v>
      </c>
      <c r="J10" s="19" t="str">
        <f t="shared" si="1"/>
        <v>Ош.крит.</v>
      </c>
      <c r="K10" s="35" t="s">
        <v>80</v>
      </c>
      <c r="L10" s="21" t="s">
        <v>63</v>
      </c>
      <c r="M10" s="17" t="s">
        <v>60</v>
      </c>
      <c r="N10" s="17" t="s">
        <v>61</v>
      </c>
      <c r="O10" s="17"/>
      <c r="P10" s="34"/>
      <c r="Q10" s="34"/>
      <c r="R10" s="17" t="s">
        <v>62</v>
      </c>
      <c r="S10" s="17" t="s">
        <v>62</v>
      </c>
      <c r="T10" s="17" t="s">
        <v>62</v>
      </c>
      <c r="U10" s="17" t="s">
        <v>62</v>
      </c>
      <c r="V10" s="34"/>
      <c r="W10" s="34"/>
      <c r="X10" s="1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3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v>0</v>
      </c>
      <c r="AY10" s="41"/>
      <c r="AZ10" s="42"/>
      <c r="BA10" s="42"/>
      <c r="BB10" s="42"/>
      <c r="BC10" s="42"/>
      <c r="BD10" s="42"/>
      <c r="BE10" s="42"/>
      <c r="BF10" s="42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16" t="s">
        <v>59</v>
      </c>
      <c r="C11" s="34"/>
      <c r="D11" s="8"/>
      <c r="E11" s="20" t="s">
        <v>81</v>
      </c>
      <c r="F11" s="20" t="s">
        <v>82</v>
      </c>
      <c r="G11" s="20" t="s">
        <v>82</v>
      </c>
      <c r="H11" s="8"/>
      <c r="I11" s="19">
        <f>LEN(F11)</f>
        <v>6</v>
      </c>
      <c r="J11" s="19" t="str">
        <f t="shared" si="1"/>
        <v>Ошибка</v>
      </c>
      <c r="K11" s="35" t="s">
        <v>83</v>
      </c>
      <c r="L11" s="21" t="s">
        <v>63</v>
      </c>
      <c r="M11" s="17" t="s">
        <v>60</v>
      </c>
      <c r="N11" s="17" t="s">
        <v>61</v>
      </c>
      <c r="O11" s="17"/>
      <c r="P11" s="34"/>
      <c r="Q11" s="34"/>
      <c r="R11" s="17" t="s">
        <v>62</v>
      </c>
      <c r="S11" s="17" t="s">
        <v>62</v>
      </c>
      <c r="T11" s="17" t="s">
        <v>62</v>
      </c>
      <c r="U11" s="17" t="s">
        <v>62</v>
      </c>
      <c r="V11" s="34"/>
      <c r="W11" s="34"/>
      <c r="X11" s="1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3"/>
      <c r="AJ11" s="38"/>
      <c r="AK11" s="38"/>
      <c r="AL11" s="38"/>
      <c r="AM11" s="38"/>
      <c r="AN11" s="38"/>
      <c r="AO11" s="38"/>
      <c r="AP11" s="38"/>
      <c r="AQ11" s="38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v>0</v>
      </c>
      <c r="AY11" s="41"/>
      <c r="AZ11" s="42"/>
      <c r="BA11" s="42"/>
      <c r="BB11" s="42"/>
      <c r="BC11" s="42"/>
      <c r="BD11" s="42"/>
      <c r="BE11" s="42"/>
      <c r="BF11" s="42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1" zoomScale="80" zoomScaleNormal="80" workbookViewId="0">
      <selection activeCell="AX20" sqref="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7109375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7109375" style="4" customWidth="1" outlineLevel="1"/>
    <col min="21" max="21" width="7.710937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9" t="s">
        <v>167</v>
      </c>
      <c r="AW2" s="59" t="s">
        <v>168</v>
      </c>
      <c r="AX2" s="59" t="s">
        <v>169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3"/>
      <c r="B3" s="58" t="s">
        <v>166</v>
      </c>
      <c r="C3" s="34"/>
      <c r="D3" s="18" t="s">
        <v>160</v>
      </c>
      <c r="E3" s="20" t="s">
        <v>84</v>
      </c>
      <c r="F3" s="46" t="s">
        <v>85</v>
      </c>
      <c r="G3" s="46" t="s">
        <v>85</v>
      </c>
      <c r="H3" s="8"/>
      <c r="I3" s="20">
        <f t="shared" ref="I3:I11" si="0">LEN(F3)</f>
        <v>4</v>
      </c>
      <c r="J3" s="20" t="str">
        <f>IF(LEN(F3)&lt;=$J$1,F3,"")</f>
        <v>Ввод</v>
      </c>
      <c r="K3" s="35" t="s">
        <v>111</v>
      </c>
      <c r="L3" s="36" t="s">
        <v>63</v>
      </c>
      <c r="M3" s="37" t="s">
        <v>60</v>
      </c>
      <c r="N3" s="37" t="s">
        <v>61</v>
      </c>
      <c r="O3" s="37"/>
      <c r="P3" s="22"/>
      <c r="Q3" s="22"/>
      <c r="R3" s="37" t="s">
        <v>62</v>
      </c>
      <c r="S3" s="37" t="s">
        <v>62</v>
      </c>
      <c r="T3" s="37" t="s">
        <v>62</v>
      </c>
      <c r="U3" s="37" t="s">
        <v>62</v>
      </c>
      <c r="V3" s="34"/>
      <c r="W3" s="34"/>
      <c r="X3" s="37" t="s">
        <v>62</v>
      </c>
      <c r="Y3" s="37">
        <v>2</v>
      </c>
      <c r="Z3" s="3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38"/>
      <c r="AK3" s="38"/>
      <c r="AL3" s="38"/>
      <c r="AM3" s="38"/>
      <c r="AN3" s="38"/>
      <c r="AO3" s="38"/>
      <c r="AP3" s="38"/>
      <c r="AQ3" s="38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9"/>
      <c r="AZ3" s="34"/>
      <c r="BA3" s="34"/>
      <c r="BB3" s="34"/>
      <c r="BC3" s="34"/>
      <c r="BD3" s="34"/>
      <c r="BE3" s="34"/>
      <c r="BF3" s="34"/>
      <c r="BG3" s="23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3"/>
      <c r="B4" s="58" t="s">
        <v>166</v>
      </c>
      <c r="C4" s="34"/>
      <c r="D4" s="18" t="s">
        <v>160</v>
      </c>
      <c r="E4" s="20" t="s">
        <v>86</v>
      </c>
      <c r="F4" s="46" t="s">
        <v>132</v>
      </c>
      <c r="G4" s="46" t="s">
        <v>132</v>
      </c>
      <c r="H4" s="8"/>
      <c r="I4" s="20">
        <f t="shared" si="0"/>
        <v>17</v>
      </c>
      <c r="J4" s="20" t="str">
        <f t="shared" ref="J4:J11" si="2">IF(LEN(F4)&lt;=$J$1,F4,"")</f>
        <v>Оперативный вывод</v>
      </c>
      <c r="K4" s="35" t="s">
        <v>112</v>
      </c>
      <c r="L4" s="36" t="s">
        <v>63</v>
      </c>
      <c r="M4" s="37" t="s">
        <v>60</v>
      </c>
      <c r="N4" s="37" t="s">
        <v>61</v>
      </c>
      <c r="O4" s="37"/>
      <c r="P4" s="22"/>
      <c r="Q4" s="22"/>
      <c r="R4" s="37" t="s">
        <v>62</v>
      </c>
      <c r="S4" s="37" t="s">
        <v>62</v>
      </c>
      <c r="T4" s="37" t="s">
        <v>62</v>
      </c>
      <c r="U4" s="37" t="s">
        <v>62</v>
      </c>
      <c r="V4" s="34"/>
      <c r="W4" s="34"/>
      <c r="X4" s="37" t="s">
        <v>62</v>
      </c>
      <c r="Y4" s="37">
        <v>2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38"/>
      <c r="AK4" s="38"/>
      <c r="AL4" s="38"/>
      <c r="AM4" s="38"/>
      <c r="AN4" s="38"/>
      <c r="AO4" s="38"/>
      <c r="AP4" s="38"/>
      <c r="AQ4" s="38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9"/>
      <c r="AZ4" s="34"/>
      <c r="BA4" s="34"/>
      <c r="BB4" s="34"/>
      <c r="BC4" s="34"/>
      <c r="BD4" s="34"/>
      <c r="BE4" s="34"/>
      <c r="BF4" s="34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33"/>
      <c r="B5" s="58" t="s">
        <v>166</v>
      </c>
      <c r="C5" s="34"/>
      <c r="D5" s="18" t="s">
        <v>160</v>
      </c>
      <c r="E5" s="20" t="s">
        <v>142</v>
      </c>
      <c r="F5" s="46" t="s">
        <v>133</v>
      </c>
      <c r="G5" s="46" t="s">
        <v>133</v>
      </c>
      <c r="H5" s="8"/>
      <c r="I5" s="20">
        <f t="shared" ref="I5" si="3">LEN(F5)</f>
        <v>13</v>
      </c>
      <c r="J5" s="20" t="str">
        <f t="shared" ref="J5" si="4">IF(LEN(F5)&lt;=$J$1,F5,"")</f>
        <v>Заблокировано</v>
      </c>
      <c r="K5" s="35" t="s">
        <v>113</v>
      </c>
      <c r="L5" s="36" t="s">
        <v>63</v>
      </c>
      <c r="M5" s="37" t="s">
        <v>60</v>
      </c>
      <c r="N5" s="37" t="s">
        <v>61</v>
      </c>
      <c r="O5" s="37"/>
      <c r="P5" s="22"/>
      <c r="Q5" s="22"/>
      <c r="R5" s="37" t="s">
        <v>62</v>
      </c>
      <c r="S5" s="37" t="s">
        <v>62</v>
      </c>
      <c r="T5" s="37" t="s">
        <v>62</v>
      </c>
      <c r="U5" s="37" t="s">
        <v>62</v>
      </c>
      <c r="V5" s="34"/>
      <c r="W5" s="34"/>
      <c r="X5" s="37" t="s">
        <v>62</v>
      </c>
      <c r="Y5" s="37">
        <v>2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38"/>
      <c r="AK5" s="38"/>
      <c r="AL5" s="38"/>
      <c r="AM5" s="38"/>
      <c r="AN5" s="38"/>
      <c r="AO5" s="38"/>
      <c r="AP5" s="38"/>
      <c r="AQ5" s="38"/>
      <c r="AR5" s="25">
        <v>0</v>
      </c>
      <c r="AS5" s="25">
        <v>1</v>
      </c>
      <c r="AT5" s="25">
        <v>0</v>
      </c>
      <c r="AU5" s="25">
        <v>1</v>
      </c>
      <c r="AV5" s="25">
        <v>1</v>
      </c>
      <c r="AW5" s="25">
        <v>1</v>
      </c>
      <c r="AX5" s="25">
        <v>1</v>
      </c>
      <c r="AY5" s="39"/>
      <c r="AZ5" s="34"/>
      <c r="BA5" s="34"/>
      <c r="BB5" s="34"/>
      <c r="BC5" s="34"/>
      <c r="BD5" s="34"/>
      <c r="BE5" s="34"/>
      <c r="BF5" s="34"/>
      <c r="BG5" s="2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"Блокировка ГЗсигн", group: "status", minValue: null, maxValue: null, step: null, units: "null", defaultValue: null, eventRegistration: 2</v>
      </c>
    </row>
    <row r="6" spans="1:16379" s="40" customFormat="1" ht="15.75" x14ac:dyDescent="0.25">
      <c r="A6" s="33"/>
      <c r="B6" s="58" t="s">
        <v>166</v>
      </c>
      <c r="C6" s="34"/>
      <c r="D6" s="18" t="s">
        <v>160</v>
      </c>
      <c r="E6" s="20" t="s">
        <v>147</v>
      </c>
      <c r="F6" s="46" t="s">
        <v>148</v>
      </c>
      <c r="G6" s="46" t="s">
        <v>148</v>
      </c>
      <c r="H6" s="8"/>
      <c r="I6" s="20">
        <f t="shared" si="0"/>
        <v>17</v>
      </c>
      <c r="J6" s="20" t="str">
        <f t="shared" si="2"/>
        <v>Срабатывание сигн</v>
      </c>
      <c r="K6" s="35" t="s">
        <v>149</v>
      </c>
      <c r="L6" s="36" t="s">
        <v>63</v>
      </c>
      <c r="M6" s="37" t="s">
        <v>60</v>
      </c>
      <c r="N6" s="37" t="s">
        <v>61</v>
      </c>
      <c r="O6" s="37"/>
      <c r="P6" s="22"/>
      <c r="Q6" s="22"/>
      <c r="R6" s="37" t="s">
        <v>62</v>
      </c>
      <c r="S6" s="37" t="s">
        <v>62</v>
      </c>
      <c r="T6" s="37" t="s">
        <v>62</v>
      </c>
      <c r="U6" s="37" t="s">
        <v>62</v>
      </c>
      <c r="V6" s="34"/>
      <c r="W6" s="34"/>
      <c r="X6" s="37" t="s">
        <v>62</v>
      </c>
      <c r="Y6" s="37">
        <v>2</v>
      </c>
      <c r="Z6" s="3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3"/>
      <c r="AJ6" s="33"/>
      <c r="AK6" s="33"/>
      <c r="AL6" s="33"/>
      <c r="AM6" s="33"/>
      <c r="AN6" s="33"/>
      <c r="AO6" s="33"/>
      <c r="AP6" s="33"/>
      <c r="AQ6" s="33"/>
      <c r="AR6" s="25">
        <v>0</v>
      </c>
      <c r="AS6" s="25">
        <v>1</v>
      </c>
      <c r="AT6" s="25">
        <v>0</v>
      </c>
      <c r="AU6" s="25">
        <v>1</v>
      </c>
      <c r="AV6" s="25">
        <v>1</v>
      </c>
      <c r="AW6" s="25">
        <v>1</v>
      </c>
      <c r="AX6" s="25">
        <v>1</v>
      </c>
      <c r="AY6" s="39"/>
      <c r="AZ6" s="34"/>
      <c r="BA6" s="34"/>
      <c r="BB6" s="34"/>
      <c r="BC6" s="34"/>
      <c r="BD6" s="34"/>
      <c r="BE6" s="34"/>
      <c r="BF6" s="34"/>
      <c r="BG6" s="2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40" customFormat="1" ht="15.75" x14ac:dyDescent="0.25">
      <c r="A7" s="33"/>
      <c r="B7" s="58" t="s">
        <v>166</v>
      </c>
      <c r="C7" s="34"/>
      <c r="D7" s="18" t="s">
        <v>160</v>
      </c>
      <c r="E7" s="20" t="s">
        <v>150</v>
      </c>
      <c r="F7" s="46" t="s">
        <v>150</v>
      </c>
      <c r="G7" s="46" t="s">
        <v>150</v>
      </c>
      <c r="H7" s="8"/>
      <c r="I7" s="20">
        <f t="shared" ref="I7" si="6">LEN(F7)</f>
        <v>12</v>
      </c>
      <c r="J7" s="20" t="str">
        <f t="shared" ref="J7" si="7">IF(LEN(F7)&lt;=$J$1,F7,"")</f>
        <v>Срабатывание</v>
      </c>
      <c r="K7" s="35" t="s">
        <v>151</v>
      </c>
      <c r="L7" s="36" t="s">
        <v>63</v>
      </c>
      <c r="M7" s="37" t="s">
        <v>60</v>
      </c>
      <c r="N7" s="37" t="s">
        <v>61</v>
      </c>
      <c r="O7" s="37"/>
      <c r="P7" s="22"/>
      <c r="Q7" s="22"/>
      <c r="R7" s="37" t="s">
        <v>62</v>
      </c>
      <c r="S7" s="37" t="s">
        <v>62</v>
      </c>
      <c r="T7" s="37" t="s">
        <v>62</v>
      </c>
      <c r="U7" s="37" t="s">
        <v>62</v>
      </c>
      <c r="V7" s="34"/>
      <c r="W7" s="34"/>
      <c r="X7" s="37" t="s">
        <v>62</v>
      </c>
      <c r="Y7" s="37">
        <v>2</v>
      </c>
      <c r="Z7" s="3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119</v>
      </c>
      <c r="AJ7" s="38" t="s">
        <v>120</v>
      </c>
      <c r="AK7" s="38" t="s">
        <v>88</v>
      </c>
      <c r="AL7" s="38" t="s">
        <v>87</v>
      </c>
      <c r="AM7" s="38" t="s">
        <v>136</v>
      </c>
      <c r="AN7" s="38"/>
      <c r="AO7" s="38" t="s">
        <v>77</v>
      </c>
      <c r="AP7" s="38" t="str">
        <f>CONCATENATE(AJ7, ".", AL7)</f>
        <v>PTRC1.Op.general</v>
      </c>
      <c r="AQ7" s="38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9"/>
      <c r="AZ7" s="34"/>
      <c r="BA7" s="34"/>
      <c r="BB7" s="34"/>
      <c r="BC7" s="34"/>
      <c r="BD7" s="34"/>
      <c r="BE7" s="34"/>
      <c r="BF7" s="34"/>
      <c r="BG7" s="23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40" customFormat="1" ht="15.75" x14ac:dyDescent="0.25">
      <c r="A8" s="33"/>
      <c r="B8" s="58" t="s">
        <v>166</v>
      </c>
      <c r="C8" s="34"/>
      <c r="D8" s="45"/>
      <c r="E8" s="20" t="s">
        <v>89</v>
      </c>
      <c r="F8" s="20" t="s">
        <v>90</v>
      </c>
      <c r="G8" s="20" t="s">
        <v>90</v>
      </c>
      <c r="H8" s="34"/>
      <c r="I8" s="20">
        <f t="shared" si="0"/>
        <v>12</v>
      </c>
      <c r="J8" s="20" t="str">
        <f t="shared" si="2"/>
        <v>Поведение LD</v>
      </c>
      <c r="K8" s="35" t="s">
        <v>91</v>
      </c>
      <c r="L8" s="36" t="s">
        <v>66</v>
      </c>
      <c r="M8" s="37" t="s">
        <v>60</v>
      </c>
      <c r="N8" s="37" t="s">
        <v>61</v>
      </c>
      <c r="O8" s="37"/>
      <c r="P8" s="34"/>
      <c r="Q8" s="34"/>
      <c r="R8" s="37" t="s">
        <v>62</v>
      </c>
      <c r="S8" s="37" t="s">
        <v>62</v>
      </c>
      <c r="T8" s="37" t="s">
        <v>62</v>
      </c>
      <c r="U8" s="37" t="s">
        <v>62</v>
      </c>
      <c r="V8" s="34"/>
      <c r="W8" s="34"/>
      <c r="X8" s="37" t="s">
        <v>62</v>
      </c>
      <c r="Y8" s="37">
        <v>0</v>
      </c>
      <c r="Z8" s="3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67</v>
      </c>
      <c r="AJ8" s="38" t="s">
        <v>152</v>
      </c>
      <c r="AK8" s="38" t="s">
        <v>92</v>
      </c>
      <c r="AL8" s="38" t="s">
        <v>74</v>
      </c>
      <c r="AM8" s="38" t="s">
        <v>75</v>
      </c>
      <c r="AN8" s="38" t="s">
        <v>76</v>
      </c>
      <c r="AO8" s="38" t="s">
        <v>77</v>
      </c>
      <c r="AP8" s="38" t="str">
        <f t="shared" ref="AP8:AP11" si="9">CONCATENATE(AJ8, ".", AL8)</f>
        <v>LLN0.Beh.stVal</v>
      </c>
      <c r="AQ8" s="38" t="s">
        <v>73</v>
      </c>
      <c r="AR8" s="25">
        <v>0</v>
      </c>
      <c r="AS8" s="25">
        <v>0</v>
      </c>
      <c r="AT8" s="25">
        <v>0</v>
      </c>
      <c r="AU8" s="25">
        <v>0</v>
      </c>
      <c r="AV8" s="25">
        <f t="shared" ref="AV8:AV11" si="10">BIN2DEC(CONCATENATE(0,0,0,0,AR8,AS8,AT8,AU8))</f>
        <v>0</v>
      </c>
      <c r="AW8" s="25">
        <v>0</v>
      </c>
      <c r="AX8" s="25">
        <v>0</v>
      </c>
      <c r="AY8" s="39"/>
      <c r="AZ8" s="34"/>
      <c r="BA8" s="34"/>
      <c r="BB8" s="34"/>
      <c r="BC8" s="34"/>
      <c r="BD8" s="34"/>
      <c r="BE8" s="34"/>
      <c r="BF8" s="34"/>
      <c r="BG8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0" customFormat="1" ht="15.75" x14ac:dyDescent="0.25">
      <c r="A9" s="33"/>
      <c r="B9" s="58" t="s">
        <v>166</v>
      </c>
      <c r="C9" s="34"/>
      <c r="D9" s="45"/>
      <c r="E9" s="20" t="s">
        <v>93</v>
      </c>
      <c r="F9" s="20" t="s">
        <v>94</v>
      </c>
      <c r="G9" s="20" t="s">
        <v>94</v>
      </c>
      <c r="H9" s="34"/>
      <c r="I9" s="20">
        <f t="shared" si="0"/>
        <v>14</v>
      </c>
      <c r="J9" s="20" t="str">
        <f t="shared" si="2"/>
        <v>Исправность LD</v>
      </c>
      <c r="K9" s="35" t="s">
        <v>95</v>
      </c>
      <c r="L9" s="36" t="s">
        <v>66</v>
      </c>
      <c r="M9" s="37" t="s">
        <v>60</v>
      </c>
      <c r="N9" s="37" t="s">
        <v>61</v>
      </c>
      <c r="O9" s="37"/>
      <c r="P9" s="22"/>
      <c r="Q9" s="22"/>
      <c r="R9" s="37" t="s">
        <v>62</v>
      </c>
      <c r="S9" s="37" t="s">
        <v>62</v>
      </c>
      <c r="T9" s="37" t="s">
        <v>62</v>
      </c>
      <c r="U9" s="37" t="s">
        <v>62</v>
      </c>
      <c r="V9" s="34"/>
      <c r="W9" s="34"/>
      <c r="X9" s="37" t="s">
        <v>62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67</v>
      </c>
      <c r="AJ9" s="38" t="s">
        <v>153</v>
      </c>
      <c r="AK9" s="38" t="s">
        <v>92</v>
      </c>
      <c r="AL9" s="38" t="s">
        <v>74</v>
      </c>
      <c r="AM9" s="38" t="s">
        <v>75</v>
      </c>
      <c r="AN9" s="38" t="s">
        <v>96</v>
      </c>
      <c r="AO9" s="38" t="s">
        <v>77</v>
      </c>
      <c r="AP9" s="38" t="str">
        <f t="shared" si="9"/>
        <v>LLN0.Health.stVal</v>
      </c>
      <c r="AQ9" s="38" t="s">
        <v>73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10"/>
        <v>0</v>
      </c>
      <c r="AW9" s="25">
        <v>0</v>
      </c>
      <c r="AX9" s="25">
        <v>0</v>
      </c>
      <c r="AY9" s="39"/>
      <c r="AZ9" s="34"/>
      <c r="BA9" s="34"/>
      <c r="BB9" s="34"/>
      <c r="BC9" s="34"/>
      <c r="BD9" s="34"/>
      <c r="BE9" s="34"/>
      <c r="BF9" s="34"/>
      <c r="BG9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0" customFormat="1" ht="15.75" x14ac:dyDescent="0.25">
      <c r="A10" s="33"/>
      <c r="B10" s="58" t="s">
        <v>166</v>
      </c>
      <c r="C10" s="34"/>
      <c r="D10" s="18" t="s">
        <v>160</v>
      </c>
      <c r="E10" s="20" t="s">
        <v>134</v>
      </c>
      <c r="F10" s="20" t="s">
        <v>97</v>
      </c>
      <c r="G10" s="20" t="s">
        <v>97</v>
      </c>
      <c r="H10" s="34"/>
      <c r="I10" s="20">
        <f t="shared" si="0"/>
        <v>9</v>
      </c>
      <c r="J10" s="20" t="str">
        <f t="shared" si="2"/>
        <v>Поведение</v>
      </c>
      <c r="K10" s="35" t="s">
        <v>114</v>
      </c>
      <c r="L10" s="36" t="s">
        <v>66</v>
      </c>
      <c r="M10" s="37" t="s">
        <v>60</v>
      </c>
      <c r="N10" s="37" t="s">
        <v>61</v>
      </c>
      <c r="O10" s="37"/>
      <c r="P10" s="34"/>
      <c r="Q10" s="34"/>
      <c r="R10" s="37" t="s">
        <v>62</v>
      </c>
      <c r="S10" s="37" t="s">
        <v>62</v>
      </c>
      <c r="T10" s="37" t="s">
        <v>62</v>
      </c>
      <c r="U10" s="37" t="s">
        <v>62</v>
      </c>
      <c r="V10" s="34"/>
      <c r="W10" s="34"/>
      <c r="X10" s="37" t="s">
        <v>62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119</v>
      </c>
      <c r="AJ10" s="38" t="s">
        <v>121</v>
      </c>
      <c r="AK10" s="38" t="s">
        <v>92</v>
      </c>
      <c r="AL10" s="38" t="s">
        <v>74</v>
      </c>
      <c r="AM10" s="38" t="s">
        <v>75</v>
      </c>
      <c r="AN10" s="38" t="s">
        <v>76</v>
      </c>
      <c r="AO10" s="38" t="s">
        <v>77</v>
      </c>
      <c r="AP10" s="38" t="str">
        <f t="shared" si="9"/>
        <v>PTRC1.Beh.stVal</v>
      </c>
      <c r="AQ10" s="38" t="s">
        <v>73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10"/>
        <v>0</v>
      </c>
      <c r="AW10" s="25">
        <v>0</v>
      </c>
      <c r="AX10" s="25">
        <v>0</v>
      </c>
      <c r="AY10" s="39"/>
      <c r="AZ10" s="34"/>
      <c r="BA10" s="34"/>
      <c r="BB10" s="34"/>
      <c r="BC10" s="34"/>
      <c r="BD10" s="34"/>
      <c r="BE10" s="34"/>
      <c r="BF10" s="34"/>
      <c r="BG10" s="23" t="str">
        <f t="shared" si="1"/>
        <v>description: "Поведение", note: "Индикация поведения логического узла ЛО ГЗсигн", group: "status", minValue: null, maxValue: null, step: null, units: "null", defaultValue: null, eventRegistration: 0</v>
      </c>
    </row>
    <row r="11" spans="1:16379" s="40" customFormat="1" ht="15.75" x14ac:dyDescent="0.25">
      <c r="A11" s="33"/>
      <c r="B11" s="58" t="s">
        <v>166</v>
      </c>
      <c r="C11" s="34"/>
      <c r="D11" s="18" t="s">
        <v>160</v>
      </c>
      <c r="E11" s="20" t="s">
        <v>135</v>
      </c>
      <c r="F11" s="20" t="s">
        <v>98</v>
      </c>
      <c r="G11" s="20" t="s">
        <v>98</v>
      </c>
      <c r="H11" s="34"/>
      <c r="I11" s="20">
        <f t="shared" si="0"/>
        <v>11</v>
      </c>
      <c r="J11" s="20" t="str">
        <f t="shared" si="2"/>
        <v>Исправность</v>
      </c>
      <c r="K11" s="35" t="s">
        <v>115</v>
      </c>
      <c r="L11" s="36" t="s">
        <v>66</v>
      </c>
      <c r="M11" s="37" t="s">
        <v>60</v>
      </c>
      <c r="N11" s="37" t="s">
        <v>61</v>
      </c>
      <c r="O11" s="37"/>
      <c r="P11" s="22"/>
      <c r="Q11" s="22"/>
      <c r="R11" s="37" t="s">
        <v>62</v>
      </c>
      <c r="S11" s="37" t="s">
        <v>62</v>
      </c>
      <c r="T11" s="37" t="s">
        <v>62</v>
      </c>
      <c r="U11" s="37" t="s">
        <v>62</v>
      </c>
      <c r="V11" s="34"/>
      <c r="W11" s="34"/>
      <c r="X11" s="37" t="s">
        <v>62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119</v>
      </c>
      <c r="AJ11" s="38" t="s">
        <v>122</v>
      </c>
      <c r="AK11" s="38" t="s">
        <v>92</v>
      </c>
      <c r="AL11" s="38" t="s">
        <v>74</v>
      </c>
      <c r="AM11" s="38" t="s">
        <v>75</v>
      </c>
      <c r="AN11" s="38" t="s">
        <v>96</v>
      </c>
      <c r="AO11" s="38" t="s">
        <v>77</v>
      </c>
      <c r="AP11" s="38" t="str">
        <f t="shared" si="9"/>
        <v>PTRC1.Health.stVal</v>
      </c>
      <c r="AQ11" s="38" t="s">
        <v>73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>
        <v>0</v>
      </c>
      <c r="AX11" s="25">
        <v>0</v>
      </c>
      <c r="AY11" s="39"/>
      <c r="AZ11" s="34"/>
      <c r="BA11" s="34"/>
      <c r="BB11" s="34"/>
      <c r="BC11" s="34"/>
      <c r="BD11" s="34"/>
      <c r="BE11" s="34"/>
      <c r="BF11" s="34"/>
      <c r="BG11" s="23" t="str">
        <f t="shared" si="1"/>
        <v>description: "Исправность", note: "Индикация исправности логического узла ЛО ГЗсигн",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abSelected="1" zoomScale="80" zoomScaleNormal="80" workbookViewId="0">
      <selection activeCell="G8" sqref="G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2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6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28515625" style="3" customWidth="1" outlineLevel="1"/>
    <col min="20" max="20" width="9.5703125" style="4" customWidth="1" outlineLevel="1"/>
    <col min="21" max="21" width="10" style="4" customWidth="1" outlineLevel="1"/>
    <col min="22" max="22" width="7.8554687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8554687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SUM(AB3:AB50)</f>
        <v>0</v>
      </c>
      <c r="AJ1" s="47"/>
      <c r="AK1" s="7"/>
      <c r="AL1" s="7"/>
      <c r="AM1" s="7"/>
      <c r="AN1" s="7"/>
      <c r="AO1" s="7"/>
      <c r="AP1" s="7"/>
      <c r="AQ1" s="7"/>
      <c r="AR1" s="7"/>
      <c r="AS1" s="47"/>
      <c r="AT1" s="6"/>
      <c r="AU1" s="6"/>
      <c r="AV1" s="6"/>
      <c r="AW1" s="6"/>
      <c r="AX1" s="6"/>
      <c r="AY1" s="6"/>
      <c r="AZ1" s="8"/>
      <c r="BA1" s="63" t="s">
        <v>0</v>
      </c>
      <c r="BB1" s="64"/>
      <c r="BC1" s="64"/>
      <c r="BD1" s="64"/>
      <c r="BE1" s="64"/>
      <c r="BF1" s="64"/>
      <c r="BG1" s="64"/>
    </row>
    <row r="2" spans="1:16380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62" t="s">
        <v>178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33"/>
      <c r="B3" s="33" t="s">
        <v>99</v>
      </c>
      <c r="C3" s="37"/>
      <c r="D3" s="18" t="s">
        <v>160</v>
      </c>
      <c r="E3" s="20" t="s">
        <v>100</v>
      </c>
      <c r="F3" s="20" t="s">
        <v>137</v>
      </c>
      <c r="G3" s="20" t="s">
        <v>143</v>
      </c>
      <c r="H3" s="20" t="s">
        <v>143</v>
      </c>
      <c r="I3" s="20" t="s">
        <v>123</v>
      </c>
      <c r="J3" s="20">
        <f t="shared" ref="J3:J5" si="0">LEN(F3)</f>
        <v>12</v>
      </c>
      <c r="K3" s="20" t="str">
        <f t="shared" ref="K3:K5" si="1">IF(LEN(F3)&lt;=$K$1,F3,"")</f>
        <v>Ввод_функции</v>
      </c>
      <c r="L3" s="33" t="s">
        <v>116</v>
      </c>
      <c r="M3" s="36" t="s">
        <v>63</v>
      </c>
      <c r="N3" s="37" t="s">
        <v>61</v>
      </c>
      <c r="O3" s="37" t="s">
        <v>61</v>
      </c>
      <c r="P3" s="37"/>
      <c r="Q3" s="39">
        <v>0</v>
      </c>
      <c r="R3" s="39"/>
      <c r="S3" s="37" t="s">
        <v>62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35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4"/>
      <c r="AL3" s="34"/>
      <c r="AM3" s="34"/>
      <c r="AN3" s="34"/>
      <c r="AO3" s="34"/>
      <c r="AP3" s="34"/>
      <c r="AQ3" s="34"/>
      <c r="AR3" s="34"/>
      <c r="AS3" s="34">
        <v>0</v>
      </c>
      <c r="AT3" s="34">
        <v>0</v>
      </c>
      <c r="AU3" s="34">
        <v>0</v>
      </c>
      <c r="AV3" s="34">
        <v>0</v>
      </c>
      <c r="AW3" s="34">
        <f t="shared" ref="AW3:AW5" si="2">BIN2DEC(CONCATENATE(0,0,0,0,AS3,AT3,AU3,AV3))</f>
        <v>0</v>
      </c>
      <c r="AX3" s="34" t="s">
        <v>124</v>
      </c>
      <c r="AY3" s="34"/>
      <c r="AZ3" s="39"/>
      <c r="BA3" s="34"/>
      <c r="BB3" s="34"/>
      <c r="BC3" s="34"/>
      <c r="BD3" s="34"/>
      <c r="BE3" s="34"/>
      <c r="BF3" s="34"/>
      <c r="BG3" s="34"/>
      <c r="BH3" s="23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customHeight="1" x14ac:dyDescent="0.25">
      <c r="A4" s="16"/>
      <c r="B4" s="33" t="s">
        <v>99</v>
      </c>
      <c r="C4" s="17"/>
      <c r="D4" s="18" t="s">
        <v>160</v>
      </c>
      <c r="E4" s="19" t="s">
        <v>109</v>
      </c>
      <c r="F4" s="20" t="s">
        <v>146</v>
      </c>
      <c r="G4" s="20" t="s">
        <v>145</v>
      </c>
      <c r="H4" s="20" t="s">
        <v>145</v>
      </c>
      <c r="I4" s="19"/>
      <c r="J4" s="19">
        <f>LEN(F4)</f>
        <v>3</v>
      </c>
      <c r="K4" s="20" t="str">
        <f t="shared" si="1"/>
        <v>Тбл</v>
      </c>
      <c r="L4" s="16" t="s">
        <v>117</v>
      </c>
      <c r="M4" s="21" t="s">
        <v>101</v>
      </c>
      <c r="N4" s="37" t="s">
        <v>61</v>
      </c>
      <c r="O4" s="17" t="s">
        <v>61</v>
      </c>
      <c r="P4" s="17"/>
      <c r="Q4" s="22">
        <v>2</v>
      </c>
      <c r="R4" s="22" t="s">
        <v>140</v>
      </c>
      <c r="S4" s="17" t="s">
        <v>102</v>
      </c>
      <c r="T4" s="17">
        <v>0</v>
      </c>
      <c r="U4" s="17">
        <v>30000</v>
      </c>
      <c r="V4" s="17">
        <v>10</v>
      </c>
      <c r="W4" s="17"/>
      <c r="X4" s="17"/>
      <c r="Y4" s="17">
        <v>5000</v>
      </c>
      <c r="Z4" s="17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6"/>
      <c r="AK4" s="27"/>
      <c r="AL4" s="27"/>
      <c r="AM4" s="27"/>
      <c r="AN4" s="27"/>
      <c r="AO4" s="27"/>
      <c r="AP4" s="27"/>
      <c r="AQ4" s="27"/>
      <c r="AR4" s="27"/>
      <c r="AS4" s="25">
        <v>0</v>
      </c>
      <c r="AT4" s="25">
        <v>0</v>
      </c>
      <c r="AU4" s="25">
        <v>0</v>
      </c>
      <c r="AV4" s="25">
        <v>0</v>
      </c>
      <c r="AW4" s="25">
        <f>BIN2DEC(CONCATENATE(0,0,0,0,AS4,AT4,AU4,AV4))</f>
        <v>0</v>
      </c>
      <c r="AX4" s="25"/>
      <c r="AY4" s="28"/>
      <c r="AZ4" s="25"/>
      <c r="BA4" s="22"/>
      <c r="BB4" s="25"/>
      <c r="BC4" s="25"/>
      <c r="BD4" s="29"/>
      <c r="BE4" s="25"/>
      <c r="BF4" s="30"/>
      <c r="BG4" s="25"/>
      <c r="BH4" s="31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"Тбл", note: "Выдержка времени срабатывания на блокировку", group: "setting", minValue: 0, maxValue: 30000, step: 10, units: "мс", defaultValue: 5000, eventRegistration: 0</v>
      </c>
      <c r="BI4" s="32"/>
    </row>
    <row r="5" spans="1:16380" s="53" customFormat="1" ht="15.75" x14ac:dyDescent="0.25">
      <c r="A5" s="33"/>
      <c r="B5" s="33" t="s">
        <v>99</v>
      </c>
      <c r="C5" s="37"/>
      <c r="D5" s="18" t="s">
        <v>160</v>
      </c>
      <c r="E5" s="20" t="s">
        <v>138</v>
      </c>
      <c r="F5" s="20" t="s">
        <v>139</v>
      </c>
      <c r="G5" s="20" t="s">
        <v>144</v>
      </c>
      <c r="H5" s="20" t="s">
        <v>144</v>
      </c>
      <c r="I5" s="20" t="s">
        <v>123</v>
      </c>
      <c r="J5" s="20">
        <f t="shared" si="0"/>
        <v>10</v>
      </c>
      <c r="K5" s="20" t="str">
        <f t="shared" si="1"/>
        <v>Блок_от_НИ</v>
      </c>
      <c r="L5" s="33" t="s">
        <v>118</v>
      </c>
      <c r="M5" s="36" t="s">
        <v>63</v>
      </c>
      <c r="N5" s="37" t="s">
        <v>61</v>
      </c>
      <c r="O5" s="37" t="s">
        <v>61</v>
      </c>
      <c r="P5" s="37"/>
      <c r="Q5" s="39">
        <v>0</v>
      </c>
      <c r="R5" s="39"/>
      <c r="S5" s="37" t="s">
        <v>62</v>
      </c>
      <c r="T5" s="37">
        <v>0</v>
      </c>
      <c r="U5" s="37">
        <v>1</v>
      </c>
      <c r="V5" s="37">
        <v>1</v>
      </c>
      <c r="W5" s="37"/>
      <c r="X5" s="37"/>
      <c r="Y5" s="37">
        <v>0</v>
      </c>
      <c r="Z5" s="37">
        <v>0</v>
      </c>
      <c r="AA5" s="35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4"/>
      <c r="AL5" s="34"/>
      <c r="AM5" s="34"/>
      <c r="AN5" s="34"/>
      <c r="AO5" s="34"/>
      <c r="AP5" s="34"/>
      <c r="AQ5" s="8"/>
      <c r="AR5" s="38"/>
      <c r="AS5" s="34">
        <v>0</v>
      </c>
      <c r="AT5" s="34">
        <v>0</v>
      </c>
      <c r="AU5" s="34">
        <v>0</v>
      </c>
      <c r="AV5" s="34">
        <v>0</v>
      </c>
      <c r="AW5" s="34">
        <f t="shared" si="2"/>
        <v>0</v>
      </c>
      <c r="AX5" s="34" t="s">
        <v>124</v>
      </c>
      <c r="AY5" s="34"/>
      <c r="AZ5" s="39"/>
      <c r="BA5" s="34"/>
      <c r="BB5" s="34"/>
      <c r="BC5" s="34"/>
      <c r="BD5" s="34"/>
      <c r="BE5" s="34"/>
      <c r="BF5" s="34"/>
      <c r="BG5" s="34"/>
      <c r="BH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4"/>
      <c r="BD6" s="4"/>
      <c r="BE6" s="4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4"/>
      <c r="BD7" s="4"/>
      <c r="BE7" s="4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1" sqref="B11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103</v>
      </c>
      <c r="B2" s="9" t="s">
        <v>104</v>
      </c>
    </row>
    <row r="3" spans="1:2" x14ac:dyDescent="0.25">
      <c r="A3" s="48" t="s">
        <v>105</v>
      </c>
      <c r="B3" s="49" t="s">
        <v>127</v>
      </c>
    </row>
    <row r="4" spans="1:2" x14ac:dyDescent="0.25">
      <c r="A4" s="48" t="s">
        <v>106</v>
      </c>
      <c r="B4" s="50">
        <v>261</v>
      </c>
    </row>
    <row r="5" spans="1:2" x14ac:dyDescent="0.25">
      <c r="A5" s="48" t="s">
        <v>107</v>
      </c>
      <c r="B5" s="49" t="s">
        <v>61</v>
      </c>
    </row>
    <row r="6" spans="1:2" x14ac:dyDescent="0.25">
      <c r="A6" s="51" t="s">
        <v>108</v>
      </c>
      <c r="B6" s="49" t="s">
        <v>110</v>
      </c>
    </row>
    <row r="7" spans="1:2" x14ac:dyDescent="0.25">
      <c r="A7" s="51" t="s">
        <v>159</v>
      </c>
      <c r="B7" s="49">
        <v>1</v>
      </c>
    </row>
    <row r="8" spans="1:2" x14ac:dyDescent="0.25">
      <c r="A8" s="60" t="s">
        <v>170</v>
      </c>
      <c r="B8" t="s">
        <v>173</v>
      </c>
    </row>
    <row r="9" spans="1:2" x14ac:dyDescent="0.25">
      <c r="A9" s="60" t="s">
        <v>171</v>
      </c>
      <c r="B9" s="60"/>
    </row>
    <row r="10" spans="1:2" x14ac:dyDescent="0.25">
      <c r="A10" s="18" t="s">
        <v>160</v>
      </c>
      <c r="B10" t="s">
        <v>172</v>
      </c>
    </row>
    <row r="11" spans="1:2" x14ac:dyDescent="0.25">
      <c r="A11" s="60" t="s">
        <v>171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2025-07-18T08:44:23Z</dcterms:modified>
</cp:coreProperties>
</file>