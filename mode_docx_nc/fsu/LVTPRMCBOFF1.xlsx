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1" i="4" l="1"/>
  <c r="AX10" i="4"/>
  <c r="AX9" i="4"/>
  <c r="AX8" i="4"/>
  <c r="AX7" i="4"/>
  <c r="AX6" i="4"/>
  <c r="AX5" i="4"/>
  <c r="AX4" i="4"/>
  <c r="AX3" i="4"/>
  <c r="J9" i="4" l="1"/>
  <c r="J10" i="4"/>
  <c r="J11" i="4"/>
  <c r="AW4" i="6" l="1"/>
  <c r="K4" i="6"/>
  <c r="BG5" i="5" l="1"/>
  <c r="AP5" i="5"/>
  <c r="J5" i="5"/>
  <c r="I5" i="5"/>
  <c r="BH5" i="6" l="1"/>
  <c r="AW5" i="6"/>
  <c r="K5" i="6"/>
  <c r="J5" i="6"/>
  <c r="BG15" i="5" l="1"/>
  <c r="AV15" i="5"/>
  <c r="AP15" i="5"/>
  <c r="J15" i="5"/>
  <c r="I15" i="5"/>
  <c r="BG14" i="5"/>
  <c r="AV14" i="5"/>
  <c r="AP14" i="5"/>
  <c r="J14" i="5"/>
  <c r="I14" i="5"/>
  <c r="BG9" i="5"/>
  <c r="AP9" i="5"/>
  <c r="J9" i="5"/>
  <c r="I9" i="5"/>
  <c r="BG8" i="5"/>
  <c r="J8" i="5"/>
  <c r="I8" i="5"/>
  <c r="BG7" i="5"/>
  <c r="J7" i="5"/>
  <c r="I7" i="5"/>
  <c r="BG4" i="4"/>
  <c r="AV4" i="4"/>
  <c r="J4" i="4"/>
  <c r="I4" i="4"/>
  <c r="BG3" i="4"/>
  <c r="AV3" i="4"/>
  <c r="J3" i="4"/>
  <c r="I3" i="4"/>
  <c r="AP6" i="5" l="1"/>
  <c r="BG6" i="5"/>
  <c r="J6" i="5"/>
  <c r="I6" i="5"/>
  <c r="BG8" i="4" l="1"/>
  <c r="AV8" i="4"/>
  <c r="J8" i="4"/>
  <c r="I8" i="4"/>
  <c r="BG7" i="4"/>
  <c r="AV7" i="4"/>
  <c r="J7" i="4"/>
  <c r="I7" i="4"/>
  <c r="BG5" i="4" l="1"/>
  <c r="AV5" i="4"/>
  <c r="J5" i="4"/>
  <c r="I5" i="4"/>
  <c r="AV10" i="5" l="1"/>
  <c r="AV11" i="5"/>
  <c r="AV12" i="5"/>
  <c r="AV13" i="5"/>
  <c r="BG6" i="4" l="1"/>
  <c r="AV6" i="4"/>
  <c r="J6" i="4"/>
  <c r="I6" i="4"/>
  <c r="BG13" i="5" l="1"/>
  <c r="BG12" i="5"/>
  <c r="BG11" i="5"/>
  <c r="BG10" i="5"/>
  <c r="BH3" i="6"/>
  <c r="AW3" i="6"/>
  <c r="K3" i="6"/>
  <c r="J3" i="6"/>
  <c r="AI1" i="6"/>
  <c r="AP13" i="5"/>
  <c r="J13" i="5"/>
  <c r="I13" i="5"/>
  <c r="AP12" i="5"/>
  <c r="J12" i="5"/>
  <c r="I12" i="5"/>
  <c r="AP11" i="5"/>
  <c r="J11" i="5"/>
  <c r="I11" i="5"/>
  <c r="AP10" i="5"/>
  <c r="J10" i="5"/>
  <c r="I10" i="5"/>
  <c r="BG4" i="5"/>
  <c r="J4" i="5"/>
  <c r="I4" i="5"/>
  <c r="BG3" i="5"/>
  <c r="J3" i="5"/>
  <c r="I3" i="5"/>
  <c r="AH1" i="5"/>
  <c r="BG11" i="4"/>
  <c r="AV11" i="4"/>
  <c r="I11" i="4"/>
  <c r="BG10" i="4"/>
  <c r="AV10" i="4"/>
  <c r="I10" i="4"/>
  <c r="BG9" i="4"/>
  <c r="AV9" i="4"/>
  <c r="AP9" i="4"/>
  <c r="I9" i="4"/>
  <c r="AH1" i="4"/>
</calcChain>
</file>

<file path=xl/sharedStrings.xml><?xml version="1.0" encoding="utf-8"?>
<sst xmlns="http://schemas.openxmlformats.org/spreadsheetml/2006/main" count="611" uniqueCount="187">
  <si>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</si>
  <si>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</si>
  <si>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</si>
  <si>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</si>
  <si>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</si>
  <si>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</si>
  <si>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</si>
  <si>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</si>
  <si>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</si>
  <si>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</si>
  <si>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</si>
  <si>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</si>
  <si>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</si>
  <si>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</si>
  <si>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</si>
  <si>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</si>
  <si>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</si>
  <si>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</si>
  <si>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</si>
  <si>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</si>
  <si>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</si>
  <si>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</si>
  <si>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</si>
  <si>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</si>
  <si>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</si>
  <si>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</si>
  <si>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</si>
  <si>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</si>
  <si>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</si>
  <si>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</si>
  <si>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</si>
  <si>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</si>
  <si>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</si>
  <si>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</si>
  <si>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</si>
  <si>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</si>
  <si>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</si>
  <si>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</si>
  <si>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</si>
  <si>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</si>
  <si>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</si>
  <si>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</si>
  <si>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</si>
  <si>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</si>
  <si>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</si>
  <si>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</si>
  <si>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</si>
  <si>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</si>
  <si>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</si>
  <si>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</si>
  <si>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</si>
  <si>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</si>
  <si>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</si>
  <si>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</si>
  <si>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</si>
  <si>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</si>
  <si>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</si>
  <si>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</si>
  <si>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</si>
  <si>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</si>
  <si>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</si>
  <si>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</si>
  <si>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</si>
  <si>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</si>
  <si>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</si>
  <si>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</si>
  <si>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</si>
  <si>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</si>
  <si>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</si>
  <si>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</si>
  <si>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</si>
  <si>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</si>
  <si>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</si>
  <si>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</si>
  <si>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</si>
  <si>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</si>
  <si>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</si>
  <si>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</si>
  <si>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</si>
  <si>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</si>
  <si>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</si>
  <si>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</si>
  <si>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</si>
  <si>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</si>
  <si>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</si>
  <si>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</si>
  <si>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</si>
  <si>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</si>
  <si>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</si>
  <si>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</si>
  <si>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</si>
  <si>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</si>
  <si>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</si>
  <si>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</si>
  <si>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</si>
  <si>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</si>
  <si>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</si>
  <si>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</si>
  <si>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</si>
  <si>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</si>
  <si>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</si>
  <si>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</si>
  <si>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</si>
  <si>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</si>
  <si>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</si>
  <si>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</si>
  <si>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</si>
  <si>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</si>
  <si>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</si>
  <si>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</si>
  <si>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</si>
  <si>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</si>
  <si>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</si>
  <si>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</si>
  <si>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</si>
  <si>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SGF1</t>
  </si>
  <si>
    <t>ACT</t>
  </si>
  <si>
    <t>Запрет АПВ</t>
  </si>
  <si>
    <t>JNTRBRE</t>
  </si>
  <si>
    <t>SPS</t>
  </si>
  <si>
    <t>Ввод функции в работу</t>
  </si>
  <si>
    <t>Срабатывание общей логики отключения трансформатора</t>
  </si>
  <si>
    <t>Сраб. ЛО Т</t>
  </si>
  <si>
    <t>OpPTRC</t>
  </si>
  <si>
    <t>Запрет АПВ внутренний</t>
  </si>
  <si>
    <t>ЗАПВ (внутр)</t>
  </si>
  <si>
    <t>BlkOpRBRE</t>
  </si>
  <si>
    <t>LVTPRMCBOFF1_operOutFunction</t>
  </si>
  <si>
    <t>LVCBPTRC1_operOutLevel</t>
  </si>
  <si>
    <t>LVCBRECRBRE1_operOutLevel</t>
  </si>
  <si>
    <t>LVCBPTRC1_FuncEnabled</t>
  </si>
  <si>
    <t>LVCBPTRC1_FuncOperDisabled</t>
  </si>
  <si>
    <t>LVCBPTRC1_Op</t>
  </si>
  <si>
    <t>Отключение</t>
  </si>
  <si>
    <t>Отключить аварийно</t>
  </si>
  <si>
    <t>LVCBPTRC1_Tr</t>
  </si>
  <si>
    <t>LVCBRECRBRE1_FuncEnabled</t>
  </si>
  <si>
    <t>LVCBRECRBRE1_FuncOperDisabled</t>
  </si>
  <si>
    <t>LVCBRECRBRE1_BlkOp</t>
  </si>
  <si>
    <t>LVCBPTRC1_Beh</t>
  </si>
  <si>
    <t>LVCBPTRC1_Health</t>
  </si>
  <si>
    <t>LVCBRECRBRE1_Beh</t>
  </si>
  <si>
    <t>LVCBRECRBRE1_Health</t>
  </si>
  <si>
    <t>CBPTRC</t>
  </si>
  <si>
    <t>LVCBPTRC1.Beh</t>
  </si>
  <si>
    <t>LVCBPTRC1.Health</t>
  </si>
  <si>
    <t>LVCBRECRBRE1.Beh</t>
  </si>
  <si>
    <t>LVCBRECRBRE1.Health</t>
  </si>
  <si>
    <t>LVCBPTRC1.Op</t>
  </si>
  <si>
    <t>LVCBPTRC1.Tr</t>
  </si>
  <si>
    <t>LVCBRECRBRE1.BlkOp</t>
  </si>
  <si>
    <t>Длительность импульса</t>
  </si>
  <si>
    <t>Тимп</t>
  </si>
  <si>
    <t>T1</t>
  </si>
  <si>
    <t>INT32</t>
  </si>
  <si>
    <t>TimeSettingScaleCoefficient</t>
  </si>
  <si>
    <t>мс</t>
  </si>
  <si>
    <t>description: "Тимп", note: "Длительность импульса", group: "setting", minValue: 50, maxValue: 60000, step: 10, units: "мс", defaultValue: 500, eventRegistration: 0</t>
  </si>
  <si>
    <t>LVCBPTRC1_EnaDis</t>
  </si>
  <si>
    <t>LVCBPTRC1_Tpulse</t>
  </si>
  <si>
    <t>LVCBRECRBRE1_EnaDis</t>
  </si>
  <si>
    <t>LVTPRMCBOFF1</t>
  </si>
  <si>
    <t>ЗАПВ</t>
  </si>
  <si>
    <t>Индикация поведения логического узла ЗАПВ</t>
  </si>
  <si>
    <t>Индикация исправности логического узла ЗАПВ</t>
  </si>
  <si>
    <t>ЛО</t>
  </si>
  <si>
    <t>Индикация поведения логического узла ЛО</t>
  </si>
  <si>
    <t>Индикация исправности логического узла ЛО</t>
  </si>
  <si>
    <t>ЛО НН1</t>
  </si>
  <si>
    <t>Оперативный вывод функции ЛО НН1</t>
  </si>
  <si>
    <t>Оперативный вывод ЛО НН1 / ЛО</t>
  </si>
  <si>
    <t>Оперативный вывод ЛО НН1 / ЗАПВ</t>
  </si>
  <si>
    <t>ОВ ЛО НН1 / ЛО</t>
  </si>
  <si>
    <t>ОВ ЛО НН1 / ЗАПВ</t>
  </si>
  <si>
    <t>ОВ ЛО НН1</t>
  </si>
  <si>
    <t>FbVersion</t>
  </si>
  <si>
    <t>control</t>
  </si>
  <si>
    <t>Logger</t>
  </si>
  <si>
    <t>Disturber</t>
  </si>
  <si>
    <t>StartDisturber</t>
  </si>
  <si>
    <t>status</t>
  </si>
  <si>
    <t>DescriptionFB</t>
  </si>
  <si>
    <t>DescriptionFuncList</t>
  </si>
  <si>
    <t>Логика отключения</t>
  </si>
  <si>
    <t>Логика отключения выключателя стороны НН1</t>
  </si>
  <si>
    <t>Логика запрета АПВ</t>
  </si>
  <si>
    <t>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</si>
</sst>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3" fillId="0" borderId="2" xfId="0" applyFont="1" applyBorder="1"/>
    <xf numFmtId="0" fontId="3" fillId="5" borderId="2" xfId="0" applyFont="1" applyFill="1" applyBorder="1"/>
    <xf numFmtId="0" fontId="2" fillId="5" borderId="0" xfId="0" applyFont="1" applyFill="1"/>
    <xf numFmtId="0" fontId="9" fillId="0" borderId="2" xfId="0" applyFont="1" applyFill="1" applyBorder="1"/>
    <xf numFmtId="0" fontId="9" fillId="5" borderId="2" xfId="0" applyFont="1" applyFill="1" applyBorder="1"/>
    <xf numFmtId="0" fontId="9" fillId="6" borderId="2" xfId="0" applyFont="1" applyFill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/>
    </xf>
    <xf numFmtId="0" fontId="2" fillId="7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2"/>
  <sheetViews>
    <sheetView topLeftCell="AK1" zoomScale="80" zoomScaleNormal="80" workbookViewId="0">
      <selection activeCell="AV2" sqref="AV2:AX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5.28515625" style="2" bestFit="1" customWidth="1"/>
    <col min="6" max="7" width="21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2.8554687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SUM(AA9:AA49)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82"/>
      <c r="AZ1" s="106" t="s">
        <v>0</v>
      </c>
      <c r="BA1" s="107"/>
      <c r="BB1" s="107"/>
      <c r="BC1" s="107"/>
      <c r="BD1" s="107"/>
      <c r="BE1" s="107"/>
      <c r="BF1" s="107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9" t="s">
        <v>7</v>
      </c>
      <c r="I2" s="9" t="s">
        <v>8</v>
      </c>
      <c r="J2" s="9" t="s">
        <v>104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102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74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98</v>
      </c>
      <c r="AC2" s="14" t="s">
        <v>99</v>
      </c>
      <c r="AD2" s="14" t="s">
        <v>100</v>
      </c>
      <c r="AE2" s="14" t="s">
        <v>101</v>
      </c>
      <c r="AF2" s="14" t="s">
        <v>24</v>
      </c>
      <c r="AG2" s="14" t="s">
        <v>25</v>
      </c>
      <c r="AH2" s="13" t="s">
        <v>26</v>
      </c>
      <c r="AI2" s="24" t="s">
        <v>97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103" t="s">
        <v>177</v>
      </c>
      <c r="AW2" s="103" t="s">
        <v>178</v>
      </c>
      <c r="AX2" s="103" t="s">
        <v>179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93" customFormat="1" ht="15.75" x14ac:dyDescent="0.25">
      <c r="A3" s="25"/>
      <c r="B3" s="25" t="s">
        <v>50</v>
      </c>
      <c r="C3" s="26"/>
      <c r="D3" s="27"/>
      <c r="E3" s="28" t="s">
        <v>121</v>
      </c>
      <c r="F3" s="83" t="s">
        <v>122</v>
      </c>
      <c r="G3" s="83" t="s">
        <v>122</v>
      </c>
      <c r="H3" s="28"/>
      <c r="I3" s="28">
        <f t="shared" ref="I3:I4" si="0">LEN(F3)</f>
        <v>10</v>
      </c>
      <c r="J3" s="28" t="str">
        <f t="shared" ref="J3:J4" si="1">IF(LEN(F3)&lt;=$J$1,F3,"")</f>
        <v>Сраб. ЛО Т</v>
      </c>
      <c r="K3" s="25" t="s">
        <v>123</v>
      </c>
      <c r="L3" s="29" t="s">
        <v>54</v>
      </c>
      <c r="M3" s="26" t="s">
        <v>51</v>
      </c>
      <c r="N3" s="26" t="s">
        <v>52</v>
      </c>
      <c r="O3" s="26"/>
      <c r="P3" s="30"/>
      <c r="Q3" s="30"/>
      <c r="R3" s="26" t="s">
        <v>53</v>
      </c>
      <c r="S3" s="26" t="s">
        <v>53</v>
      </c>
      <c r="T3" s="26" t="s">
        <v>53</v>
      </c>
      <c r="U3" s="26" t="s">
        <v>53</v>
      </c>
      <c r="V3" s="26"/>
      <c r="W3" s="26"/>
      <c r="X3" s="26" t="s">
        <v>53</v>
      </c>
      <c r="Y3" s="26">
        <v>0</v>
      </c>
      <c r="Z3" s="31"/>
      <c r="AA3" s="85">
        <v>0</v>
      </c>
      <c r="AB3" s="85"/>
      <c r="AC3" s="85"/>
      <c r="AD3" s="85"/>
      <c r="AE3" s="85"/>
      <c r="AF3" s="85">
        <v>0</v>
      </c>
      <c r="AG3" s="85">
        <v>0</v>
      </c>
      <c r="AH3" s="85">
        <v>0</v>
      </c>
      <c r="AI3" s="92"/>
      <c r="AJ3" s="32"/>
      <c r="AK3" s="32"/>
      <c r="AL3" s="32"/>
      <c r="AM3" s="32"/>
      <c r="AN3" s="32"/>
      <c r="AO3" s="32"/>
      <c r="AP3" s="32"/>
      <c r="AQ3" s="32"/>
      <c r="AR3" s="85">
        <v>0</v>
      </c>
      <c r="AS3" s="85">
        <v>0</v>
      </c>
      <c r="AT3" s="85">
        <v>0</v>
      </c>
      <c r="AU3" s="85">
        <v>0</v>
      </c>
      <c r="AV3" s="85">
        <f t="shared" ref="AV3:AV4" si="2">BIN2DEC(CONCATENATE(0,0,0,0,AR3,AS3,AT3,AU3))</f>
        <v>0</v>
      </c>
      <c r="AW3" s="85">
        <v>0</v>
      </c>
      <c r="AX3" s="85">
        <f t="shared" ref="AX3:AX11" si="3">BIN2DEC(CONCATENATE(0,0,0,0,AT3,AU3,AV3,AW3))</f>
        <v>0</v>
      </c>
      <c r="AY3" s="85"/>
      <c r="AZ3" s="30"/>
      <c r="BA3" s="85"/>
      <c r="BB3" s="85"/>
      <c r="BC3" s="33"/>
      <c r="BD3" s="85"/>
      <c r="BE3" s="34"/>
      <c r="BF3" s="85"/>
      <c r="BG3" s="35" t="str">
        <f t="shared" ref="BG3:BG4" si="4">CONCATENATE("description: """,F3,"""", ", ", "note: """,E3,"""",", ","group: """, B3, """",", ","minValue: ", S3,", ","maxValue: ", T3,", ","step: ", U3,", ","units: """, R3, """",", ","defaultValue: ", X3,", ","eventRegistration: ", Y3,)</f>
        <v>description: "Сраб. ЛО Т", note: "Срабатывание общей логики отключения трансформатора", group: "measurement", minValue: null, maxValue: null, step: null, units: "null", defaultValue: null, eventRegistration: 0</v>
      </c>
      <c r="BH3" s="36"/>
    </row>
    <row r="4" spans="1:16379" s="93" customFormat="1" ht="15.75" x14ac:dyDescent="0.25">
      <c r="A4" s="25"/>
      <c r="B4" s="25" t="s">
        <v>50</v>
      </c>
      <c r="C4" s="26"/>
      <c r="D4" s="27"/>
      <c r="E4" s="28" t="s">
        <v>124</v>
      </c>
      <c r="F4" s="83" t="s">
        <v>125</v>
      </c>
      <c r="G4" s="83" t="s">
        <v>125</v>
      </c>
      <c r="H4" s="28"/>
      <c r="I4" s="28">
        <f t="shared" si="0"/>
        <v>12</v>
      </c>
      <c r="J4" s="28" t="str">
        <f t="shared" si="1"/>
        <v>ЗАПВ (внутр)</v>
      </c>
      <c r="K4" s="25" t="s">
        <v>126</v>
      </c>
      <c r="L4" s="29" t="s">
        <v>54</v>
      </c>
      <c r="M4" s="26" t="s">
        <v>51</v>
      </c>
      <c r="N4" s="26" t="s">
        <v>52</v>
      </c>
      <c r="O4" s="26"/>
      <c r="P4" s="30"/>
      <c r="Q4" s="30"/>
      <c r="R4" s="26" t="s">
        <v>53</v>
      </c>
      <c r="S4" s="26" t="s">
        <v>53</v>
      </c>
      <c r="T4" s="26" t="s">
        <v>53</v>
      </c>
      <c r="U4" s="26" t="s">
        <v>53</v>
      </c>
      <c r="V4" s="26"/>
      <c r="W4" s="26"/>
      <c r="X4" s="26" t="s">
        <v>53</v>
      </c>
      <c r="Y4" s="26">
        <v>0</v>
      </c>
      <c r="Z4" s="31"/>
      <c r="AA4" s="85">
        <v>0</v>
      </c>
      <c r="AB4" s="85"/>
      <c r="AC4" s="85"/>
      <c r="AD4" s="85"/>
      <c r="AE4" s="85"/>
      <c r="AF4" s="85">
        <v>0</v>
      </c>
      <c r="AG4" s="85">
        <v>0</v>
      </c>
      <c r="AH4" s="85">
        <v>0</v>
      </c>
      <c r="AI4" s="92"/>
      <c r="AJ4" s="32"/>
      <c r="AK4" s="32"/>
      <c r="AL4" s="32"/>
      <c r="AM4" s="32"/>
      <c r="AN4" s="32"/>
      <c r="AO4" s="32"/>
      <c r="AP4" s="32"/>
      <c r="AQ4" s="32"/>
      <c r="AR4" s="85">
        <v>0</v>
      </c>
      <c r="AS4" s="85">
        <v>0</v>
      </c>
      <c r="AT4" s="85">
        <v>0</v>
      </c>
      <c r="AU4" s="85">
        <v>0</v>
      </c>
      <c r="AV4" s="85">
        <f t="shared" si="2"/>
        <v>0</v>
      </c>
      <c r="AW4" s="85">
        <v>0</v>
      </c>
      <c r="AX4" s="85">
        <f t="shared" si="3"/>
        <v>0</v>
      </c>
      <c r="AY4" s="85"/>
      <c r="AZ4" s="30"/>
      <c r="BA4" s="85"/>
      <c r="BB4" s="85"/>
      <c r="BC4" s="33"/>
      <c r="BD4" s="85"/>
      <c r="BE4" s="34"/>
      <c r="BF4" s="85"/>
      <c r="BG4" s="35" t="str">
        <f t="shared" si="4"/>
        <v>description: "ЗАПВ (внутр)", note: "Запрет АПВ внутренний", group: "measurement", minValue: null, maxValue: null, step: null, units: "null", defaultValue: null, eventRegistration: 0</v>
      </c>
      <c r="BH4" s="36"/>
    </row>
    <row r="5" spans="1:16379" s="93" customFormat="1" ht="15.75" x14ac:dyDescent="0.25">
      <c r="A5" s="25"/>
      <c r="B5" s="102" t="s">
        <v>176</v>
      </c>
      <c r="C5" s="26"/>
      <c r="D5" s="27"/>
      <c r="E5" s="28" t="s">
        <v>107</v>
      </c>
      <c r="F5" s="83" t="s">
        <v>107</v>
      </c>
      <c r="G5" s="83" t="s">
        <v>107</v>
      </c>
      <c r="H5" s="28"/>
      <c r="I5" s="28">
        <f t="shared" ref="I5:I11" si="5">LEN(F5)</f>
        <v>15</v>
      </c>
      <c r="J5" s="28" t="str">
        <f t="shared" ref="J5:J11" si="6">IF(LEN(F5)&lt;=$J$1,F5,"")</f>
        <v>Вывод терминала</v>
      </c>
      <c r="K5" s="25" t="s">
        <v>108</v>
      </c>
      <c r="L5" s="29" t="s">
        <v>54</v>
      </c>
      <c r="M5" s="26" t="s">
        <v>51</v>
      </c>
      <c r="N5" s="26" t="s">
        <v>52</v>
      </c>
      <c r="O5" s="26"/>
      <c r="P5" s="30"/>
      <c r="Q5" s="30"/>
      <c r="R5" s="26" t="s">
        <v>53</v>
      </c>
      <c r="S5" s="26" t="s">
        <v>53</v>
      </c>
      <c r="T5" s="26" t="s">
        <v>53</v>
      </c>
      <c r="U5" s="26" t="s">
        <v>53</v>
      </c>
      <c r="V5" s="26"/>
      <c r="W5" s="26"/>
      <c r="X5" s="26" t="s">
        <v>53</v>
      </c>
      <c r="Y5" s="26">
        <v>0</v>
      </c>
      <c r="Z5" s="31"/>
      <c r="AA5" s="85">
        <v>0</v>
      </c>
      <c r="AB5" s="85"/>
      <c r="AC5" s="85"/>
      <c r="AD5" s="85"/>
      <c r="AE5" s="85"/>
      <c r="AF5" s="85">
        <v>0</v>
      </c>
      <c r="AG5" s="85">
        <v>0</v>
      </c>
      <c r="AH5" s="85">
        <v>0</v>
      </c>
      <c r="AI5" s="92"/>
      <c r="AJ5" s="32"/>
      <c r="AK5" s="32"/>
      <c r="AL5" s="32"/>
      <c r="AM5" s="32"/>
      <c r="AN5" s="32"/>
      <c r="AO5" s="32"/>
      <c r="AP5" s="32"/>
      <c r="AQ5" s="32"/>
      <c r="AR5" s="85">
        <v>0</v>
      </c>
      <c r="AS5" s="85">
        <v>0</v>
      </c>
      <c r="AT5" s="85">
        <v>0</v>
      </c>
      <c r="AU5" s="85">
        <v>0</v>
      </c>
      <c r="AV5" s="85">
        <f t="shared" ref="AV5:AV8" si="7">BIN2DEC(CONCATENATE(0,0,0,0,AR5,AS5,AT5,AU5))</f>
        <v>0</v>
      </c>
      <c r="AW5" s="85">
        <v>0</v>
      </c>
      <c r="AX5" s="85">
        <f t="shared" si="3"/>
        <v>0</v>
      </c>
      <c r="AY5" s="85"/>
      <c r="AZ5" s="30"/>
      <c r="BA5" s="85"/>
      <c r="BB5" s="85"/>
      <c r="BC5" s="33"/>
      <c r="BD5" s="85"/>
      <c r="BE5" s="34"/>
      <c r="BF5" s="85"/>
      <c r="BG5" s="35" t="str">
        <f t="shared" ref="BG5:BG8" si="8">CONCATENATE("description: """,F5,"""", ", ", "note: """,E5,"""",", ","group: """, B5, """",", ","minValue: ", S5,", ","maxValue: ", T5,", ","step: ", U5,", ","units: """, R5, """",", ","defaultValue: ", X5,", ","eventRegistration: ", Y5,)</f>
        <v>description: "Вывод терминала", note: "Вывод терминала", group: "control", minValue: null, maxValue: null, step: null, units: "null", defaultValue: null, eventRegistration: 0</v>
      </c>
      <c r="BH5" s="36"/>
    </row>
    <row r="6" spans="1:16379" s="93" customFormat="1" ht="15.75" x14ac:dyDescent="0.25">
      <c r="A6" s="25"/>
      <c r="B6" s="102" t="s">
        <v>176</v>
      </c>
      <c r="C6" s="26"/>
      <c r="D6" s="94" t="s">
        <v>168</v>
      </c>
      <c r="E6" s="28" t="s">
        <v>169</v>
      </c>
      <c r="F6" s="83" t="s">
        <v>174</v>
      </c>
      <c r="G6" s="83" t="s">
        <v>174</v>
      </c>
      <c r="H6" s="28"/>
      <c r="I6" s="28">
        <f t="shared" si="5"/>
        <v>9</v>
      </c>
      <c r="J6" s="28" t="str">
        <f t="shared" si="6"/>
        <v>ОВ ЛО НН1</v>
      </c>
      <c r="K6" s="25" t="s">
        <v>127</v>
      </c>
      <c r="L6" s="29" t="s">
        <v>54</v>
      </c>
      <c r="M6" s="26" t="s">
        <v>51</v>
      </c>
      <c r="N6" s="26" t="s">
        <v>52</v>
      </c>
      <c r="O6" s="26"/>
      <c r="P6" s="30"/>
      <c r="Q6" s="30"/>
      <c r="R6" s="26" t="s">
        <v>53</v>
      </c>
      <c r="S6" s="26" t="s">
        <v>53</v>
      </c>
      <c r="T6" s="26" t="s">
        <v>53</v>
      </c>
      <c r="U6" s="26" t="s">
        <v>53</v>
      </c>
      <c r="V6" s="26"/>
      <c r="W6" s="26"/>
      <c r="X6" s="26" t="s">
        <v>53</v>
      </c>
      <c r="Y6" s="26">
        <v>0</v>
      </c>
      <c r="Z6" s="31"/>
      <c r="AA6" s="85">
        <v>0</v>
      </c>
      <c r="AB6" s="85"/>
      <c r="AC6" s="85"/>
      <c r="AD6" s="85"/>
      <c r="AE6" s="85"/>
      <c r="AF6" s="85">
        <v>0</v>
      </c>
      <c r="AG6" s="85">
        <v>0</v>
      </c>
      <c r="AH6" s="85">
        <v>0</v>
      </c>
      <c r="AI6" s="92"/>
      <c r="AJ6" s="32"/>
      <c r="AK6" s="32"/>
      <c r="AL6" s="32"/>
      <c r="AM6" s="32"/>
      <c r="AN6" s="32"/>
      <c r="AO6" s="32"/>
      <c r="AP6" s="32"/>
      <c r="AQ6" s="32"/>
      <c r="AR6" s="85">
        <v>0</v>
      </c>
      <c r="AS6" s="85">
        <v>0</v>
      </c>
      <c r="AT6" s="85">
        <v>0</v>
      </c>
      <c r="AU6" s="85">
        <v>0</v>
      </c>
      <c r="AV6" s="85">
        <f t="shared" si="7"/>
        <v>0</v>
      </c>
      <c r="AW6" s="85">
        <v>0</v>
      </c>
      <c r="AX6" s="85">
        <f t="shared" si="3"/>
        <v>0</v>
      </c>
      <c r="AY6" s="85"/>
      <c r="AZ6" s="30"/>
      <c r="BA6" s="85"/>
      <c r="BB6" s="85"/>
      <c r="BC6" s="33"/>
      <c r="BD6" s="85"/>
      <c r="BE6" s="34"/>
      <c r="BF6" s="85"/>
      <c r="BG6" s="35" t="str">
        <f t="shared" si="8"/>
        <v>description: "ОВ ЛО НН1", note: "Оперативный вывод функции ЛО НН1", group: "control", minValue: null, maxValue: null, step: null, units: "null", defaultValue: null, eventRegistration: 0</v>
      </c>
      <c r="BH6" s="36"/>
    </row>
    <row r="7" spans="1:16379" s="96" customFormat="1" ht="15.75" x14ac:dyDescent="0.25">
      <c r="A7" s="38"/>
      <c r="B7" s="102" t="s">
        <v>176</v>
      </c>
      <c r="C7" s="39"/>
      <c r="D7" s="95" t="s">
        <v>165</v>
      </c>
      <c r="E7" s="40" t="s">
        <v>170</v>
      </c>
      <c r="F7" s="41" t="s">
        <v>172</v>
      </c>
      <c r="G7" s="41" t="s">
        <v>172</v>
      </c>
      <c r="H7" s="40"/>
      <c r="I7" s="40">
        <f t="shared" ref="I7" si="9">LEN(F7)</f>
        <v>14</v>
      </c>
      <c r="J7" s="40" t="str">
        <f t="shared" si="6"/>
        <v>ОВ ЛО НН1 / ЛО</v>
      </c>
      <c r="K7" s="38" t="s">
        <v>128</v>
      </c>
      <c r="L7" s="42" t="s">
        <v>54</v>
      </c>
      <c r="M7" s="39" t="s">
        <v>51</v>
      </c>
      <c r="N7" s="39" t="s">
        <v>52</v>
      </c>
      <c r="O7" s="39"/>
      <c r="P7" s="43"/>
      <c r="Q7" s="43"/>
      <c r="R7" s="39" t="s">
        <v>53</v>
      </c>
      <c r="S7" s="39" t="s">
        <v>53</v>
      </c>
      <c r="T7" s="39" t="s">
        <v>53</v>
      </c>
      <c r="U7" s="39" t="s">
        <v>53</v>
      </c>
      <c r="V7" s="39"/>
      <c r="W7" s="39"/>
      <c r="X7" s="39" t="s">
        <v>53</v>
      </c>
      <c r="Y7" s="39">
        <v>0</v>
      </c>
      <c r="Z7" s="44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6"/>
      <c r="AJ7" s="47"/>
      <c r="AK7" s="47"/>
      <c r="AL7" s="47"/>
      <c r="AM7" s="47"/>
      <c r="AN7" s="47"/>
      <c r="AO7" s="47"/>
      <c r="AP7" s="47"/>
      <c r="AQ7" s="47"/>
      <c r="AR7" s="45">
        <v>0</v>
      </c>
      <c r="AS7" s="45">
        <v>0</v>
      </c>
      <c r="AT7" s="45">
        <v>0</v>
      </c>
      <c r="AU7" s="45">
        <v>0</v>
      </c>
      <c r="AV7" s="45">
        <f t="shared" si="7"/>
        <v>0</v>
      </c>
      <c r="AW7" s="45">
        <v>0</v>
      </c>
      <c r="AX7" s="45">
        <f t="shared" si="3"/>
        <v>0</v>
      </c>
      <c r="AY7" s="45"/>
      <c r="AZ7" s="43"/>
      <c r="BA7" s="45"/>
      <c r="BB7" s="45"/>
      <c r="BC7" s="48"/>
      <c r="BD7" s="45"/>
      <c r="BE7" s="49"/>
      <c r="BF7" s="45"/>
      <c r="BG7" s="50" t="str">
        <f t="shared" si="8"/>
        <v>description: "ОВ ЛО НН1 / ЛО", note: "Оперативный вывод ЛО НН1 / ЛО", group: "control", minValue: null, maxValue: null, step: null, units: "null", defaultValue: null, eventRegistration: 0</v>
      </c>
      <c r="BH7" s="51"/>
    </row>
    <row r="8" spans="1:16379" s="96" customFormat="1" ht="15.75" x14ac:dyDescent="0.25">
      <c r="A8" s="38"/>
      <c r="B8" s="102" t="s">
        <v>176</v>
      </c>
      <c r="C8" s="39"/>
      <c r="D8" s="95" t="s">
        <v>162</v>
      </c>
      <c r="E8" s="40" t="s">
        <v>171</v>
      </c>
      <c r="F8" s="41" t="s">
        <v>173</v>
      </c>
      <c r="G8" s="41" t="s">
        <v>173</v>
      </c>
      <c r="H8" s="40"/>
      <c r="I8" s="40">
        <f t="shared" ref="I8" si="10">LEN(F8)</f>
        <v>16</v>
      </c>
      <c r="J8" s="40" t="str">
        <f t="shared" si="6"/>
        <v>ОВ ЛО НН1 / ЗАПВ</v>
      </c>
      <c r="K8" s="38" t="s">
        <v>129</v>
      </c>
      <c r="L8" s="42" t="s">
        <v>54</v>
      </c>
      <c r="M8" s="39" t="s">
        <v>51</v>
      </c>
      <c r="N8" s="39" t="s">
        <v>52</v>
      </c>
      <c r="O8" s="39"/>
      <c r="P8" s="43"/>
      <c r="Q8" s="43"/>
      <c r="R8" s="39" t="s">
        <v>53</v>
      </c>
      <c r="S8" s="39" t="s">
        <v>53</v>
      </c>
      <c r="T8" s="39" t="s">
        <v>53</v>
      </c>
      <c r="U8" s="39" t="s">
        <v>53</v>
      </c>
      <c r="V8" s="39"/>
      <c r="W8" s="39"/>
      <c r="X8" s="39" t="s">
        <v>53</v>
      </c>
      <c r="Y8" s="39">
        <v>0</v>
      </c>
      <c r="Z8" s="44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6"/>
      <c r="AJ8" s="47"/>
      <c r="AK8" s="47"/>
      <c r="AL8" s="47"/>
      <c r="AM8" s="47"/>
      <c r="AN8" s="47"/>
      <c r="AO8" s="47"/>
      <c r="AP8" s="47"/>
      <c r="AQ8" s="47"/>
      <c r="AR8" s="45">
        <v>0</v>
      </c>
      <c r="AS8" s="45">
        <v>0</v>
      </c>
      <c r="AT8" s="45">
        <v>0</v>
      </c>
      <c r="AU8" s="45">
        <v>0</v>
      </c>
      <c r="AV8" s="45">
        <f t="shared" si="7"/>
        <v>0</v>
      </c>
      <c r="AW8" s="45">
        <v>0</v>
      </c>
      <c r="AX8" s="45">
        <f t="shared" si="3"/>
        <v>0</v>
      </c>
      <c r="AY8" s="45"/>
      <c r="AZ8" s="43"/>
      <c r="BA8" s="45"/>
      <c r="BB8" s="45"/>
      <c r="BC8" s="48"/>
      <c r="BD8" s="45"/>
      <c r="BE8" s="49"/>
      <c r="BF8" s="45"/>
      <c r="BG8" s="50" t="str">
        <f t="shared" si="8"/>
        <v>description: "ОВ ЛО НН1 / ЗАПВ", note: "Оперативный вывод ЛО НН1 / ЗАПВ", group: "control", minValue: null, maxValue: null, step: null, units: "null", defaultValue: null, eventRegistration: 0</v>
      </c>
      <c r="BH8" s="51"/>
    </row>
    <row r="9" spans="1:16379" s="67" customFormat="1" ht="15.75" x14ac:dyDescent="0.25">
      <c r="A9" s="52"/>
      <c r="B9" s="53" t="s">
        <v>50</v>
      </c>
      <c r="C9" s="54"/>
      <c r="D9" s="55"/>
      <c r="E9" s="56" t="s">
        <v>55</v>
      </c>
      <c r="F9" s="56" t="s">
        <v>56</v>
      </c>
      <c r="G9" s="56" t="s">
        <v>56</v>
      </c>
      <c r="H9" s="55"/>
      <c r="I9" s="57">
        <f t="shared" si="5"/>
        <v>10</v>
      </c>
      <c r="J9" s="57" t="str">
        <f t="shared" si="6"/>
        <v>Насл.режим</v>
      </c>
      <c r="K9" s="58" t="s">
        <v>58</v>
      </c>
      <c r="L9" s="59" t="s">
        <v>57</v>
      </c>
      <c r="M9" s="60" t="s">
        <v>51</v>
      </c>
      <c r="N9" s="60" t="s">
        <v>52</v>
      </c>
      <c r="O9" s="60"/>
      <c r="P9" s="54"/>
      <c r="Q9" s="54"/>
      <c r="R9" s="60" t="s">
        <v>53</v>
      </c>
      <c r="S9" s="60" t="s">
        <v>53</v>
      </c>
      <c r="T9" s="60" t="s">
        <v>53</v>
      </c>
      <c r="U9" s="60" t="s">
        <v>53</v>
      </c>
      <c r="V9" s="54"/>
      <c r="W9" s="54"/>
      <c r="X9" s="60" t="s">
        <v>53</v>
      </c>
      <c r="Y9" s="61">
        <v>0</v>
      </c>
      <c r="Z9" s="54"/>
      <c r="AA9" s="62">
        <v>0</v>
      </c>
      <c r="AB9" s="62"/>
      <c r="AC9" s="62"/>
      <c r="AD9" s="62"/>
      <c r="AE9" s="62"/>
      <c r="AF9" s="62">
        <v>0</v>
      </c>
      <c r="AG9" s="62">
        <v>0</v>
      </c>
      <c r="AH9" s="62">
        <v>0</v>
      </c>
      <c r="AI9" s="63" t="s">
        <v>96</v>
      </c>
      <c r="AJ9" s="64" t="s">
        <v>112</v>
      </c>
      <c r="AK9" s="64" t="s">
        <v>59</v>
      </c>
      <c r="AL9" s="64" t="s">
        <v>60</v>
      </c>
      <c r="AM9" s="64" t="s">
        <v>61</v>
      </c>
      <c r="AN9" s="64"/>
      <c r="AO9" s="64" t="s">
        <v>62</v>
      </c>
      <c r="AP9" s="64" t="str">
        <f>CONCATENATE(AJ9, ".", AL9)</f>
        <v>LLN0.GrRef.setSrcRef</v>
      </c>
      <c r="AQ9" s="64" t="s">
        <v>63</v>
      </c>
      <c r="AR9" s="62">
        <v>0</v>
      </c>
      <c r="AS9" s="62">
        <v>0</v>
      </c>
      <c r="AT9" s="62">
        <v>0</v>
      </c>
      <c r="AU9" s="62">
        <v>0</v>
      </c>
      <c r="AV9" s="62">
        <f t="shared" ref="AV9:AV11" si="11">BIN2DEC(CONCATENATE(0,0,0,0,AR9,AS9,AT9,AU9))</f>
        <v>0</v>
      </c>
      <c r="AW9" s="62">
        <v>0</v>
      </c>
      <c r="AX9" s="62">
        <f t="shared" si="3"/>
        <v>0</v>
      </c>
      <c r="AY9" s="65"/>
      <c r="AZ9" s="54"/>
      <c r="BA9" s="54"/>
      <c r="BB9" s="54"/>
      <c r="BC9" s="54"/>
      <c r="BD9" s="54"/>
      <c r="BE9" s="54"/>
      <c r="BF9" s="54"/>
      <c r="BG9" s="66" t="str">
        <f t="shared" ref="BG9:BG11" si="12">CONCATENATE("description: """,F9,"""", ", ", "note: """,E9,"""",", ","group: """, B9, """",", ","minValue: ", S9,", ","maxValue: ", T9,", ","step: ", U9,", ","units: """, R9, """",", ","defaultValue: ", X9,", ","eventRegistration: ", Y9,)</f>
        <v>description: "Насл.режим", note: "Наследуемый режим работы", group: "measurement", minValue: null, maxValue: null, step: null, units: "null", defaultValue: null, eventRegistration: 0</v>
      </c>
    </row>
    <row r="10" spans="1:16379" s="67" customFormat="1" ht="15.75" x14ac:dyDescent="0.25">
      <c r="A10" s="52"/>
      <c r="B10" s="53" t="s">
        <v>50</v>
      </c>
      <c r="C10" s="54"/>
      <c r="D10" s="55"/>
      <c r="E10" s="56" t="s">
        <v>68</v>
      </c>
      <c r="F10" s="56" t="s">
        <v>69</v>
      </c>
      <c r="G10" s="56" t="s">
        <v>69</v>
      </c>
      <c r="H10" s="55"/>
      <c r="I10" s="57">
        <f t="shared" si="5"/>
        <v>8</v>
      </c>
      <c r="J10" s="57" t="str">
        <f t="shared" si="6"/>
        <v>Ош.крит.</v>
      </c>
      <c r="K10" s="58" t="s">
        <v>70</v>
      </c>
      <c r="L10" s="68" t="s">
        <v>54</v>
      </c>
      <c r="M10" s="60" t="s">
        <v>51</v>
      </c>
      <c r="N10" s="60" t="s">
        <v>52</v>
      </c>
      <c r="O10" s="60"/>
      <c r="P10" s="54"/>
      <c r="Q10" s="54"/>
      <c r="R10" s="60" t="s">
        <v>53</v>
      </c>
      <c r="S10" s="60" t="s">
        <v>53</v>
      </c>
      <c r="T10" s="60" t="s">
        <v>53</v>
      </c>
      <c r="U10" s="60" t="s">
        <v>53</v>
      </c>
      <c r="V10" s="54"/>
      <c r="W10" s="54"/>
      <c r="X10" s="60" t="s">
        <v>53</v>
      </c>
      <c r="Y10" s="61">
        <v>0</v>
      </c>
      <c r="Z10" s="54"/>
      <c r="AA10" s="62">
        <v>0</v>
      </c>
      <c r="AB10" s="62"/>
      <c r="AC10" s="62"/>
      <c r="AD10" s="62"/>
      <c r="AE10" s="62"/>
      <c r="AF10" s="62">
        <v>0</v>
      </c>
      <c r="AG10" s="62">
        <v>0</v>
      </c>
      <c r="AH10" s="62">
        <v>0</v>
      </c>
      <c r="AI10" s="63"/>
      <c r="AJ10" s="64"/>
      <c r="AK10" s="64"/>
      <c r="AL10" s="64"/>
      <c r="AM10" s="64"/>
      <c r="AN10" s="64"/>
      <c r="AO10" s="64"/>
      <c r="AP10" s="64"/>
      <c r="AQ10" s="64"/>
      <c r="AR10" s="62">
        <v>0</v>
      </c>
      <c r="AS10" s="62">
        <v>0</v>
      </c>
      <c r="AT10" s="62">
        <v>0</v>
      </c>
      <c r="AU10" s="62">
        <v>0</v>
      </c>
      <c r="AV10" s="62">
        <f t="shared" si="11"/>
        <v>0</v>
      </c>
      <c r="AW10" s="62">
        <v>0</v>
      </c>
      <c r="AX10" s="62">
        <f t="shared" si="3"/>
        <v>0</v>
      </c>
      <c r="AY10" s="65"/>
      <c r="AZ10" s="54"/>
      <c r="BA10" s="54"/>
      <c r="BB10" s="54"/>
      <c r="BC10" s="54"/>
      <c r="BD10" s="54"/>
      <c r="BE10" s="54"/>
      <c r="BF10" s="54"/>
      <c r="BG10" s="66" t="str">
        <f t="shared" si="1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1" spans="1:16379" s="67" customFormat="1" ht="15.75" x14ac:dyDescent="0.25">
      <c r="A11" s="52"/>
      <c r="B11" s="53" t="s">
        <v>50</v>
      </c>
      <c r="C11" s="54"/>
      <c r="D11" s="55"/>
      <c r="E11" s="56" t="s">
        <v>71</v>
      </c>
      <c r="F11" s="56" t="s">
        <v>72</v>
      </c>
      <c r="G11" s="56" t="s">
        <v>72</v>
      </c>
      <c r="H11" s="55"/>
      <c r="I11" s="57">
        <f t="shared" si="5"/>
        <v>6</v>
      </c>
      <c r="J11" s="57" t="str">
        <f t="shared" si="6"/>
        <v>Ошибка</v>
      </c>
      <c r="K11" s="58" t="s">
        <v>73</v>
      </c>
      <c r="L11" s="68" t="s">
        <v>54</v>
      </c>
      <c r="M11" s="60" t="s">
        <v>51</v>
      </c>
      <c r="N11" s="60" t="s">
        <v>52</v>
      </c>
      <c r="O11" s="60"/>
      <c r="P11" s="54"/>
      <c r="Q11" s="54"/>
      <c r="R11" s="60" t="s">
        <v>53</v>
      </c>
      <c r="S11" s="60" t="s">
        <v>53</v>
      </c>
      <c r="T11" s="60" t="s">
        <v>53</v>
      </c>
      <c r="U11" s="60" t="s">
        <v>53</v>
      </c>
      <c r="V11" s="54"/>
      <c r="W11" s="54"/>
      <c r="X11" s="60" t="s">
        <v>53</v>
      </c>
      <c r="Y11" s="61">
        <v>0</v>
      </c>
      <c r="Z11" s="54"/>
      <c r="AA11" s="62">
        <v>0</v>
      </c>
      <c r="AB11" s="62"/>
      <c r="AC11" s="62"/>
      <c r="AD11" s="62"/>
      <c r="AE11" s="62"/>
      <c r="AF11" s="62">
        <v>0</v>
      </c>
      <c r="AG11" s="62">
        <v>0</v>
      </c>
      <c r="AH11" s="62">
        <v>0</v>
      </c>
      <c r="AI11" s="63"/>
      <c r="AJ11" s="64"/>
      <c r="AK11" s="64"/>
      <c r="AL11" s="64"/>
      <c r="AM11" s="64"/>
      <c r="AN11" s="64"/>
      <c r="AO11" s="64"/>
      <c r="AP11" s="64"/>
      <c r="AQ11" s="64"/>
      <c r="AR11" s="62">
        <v>0</v>
      </c>
      <c r="AS11" s="62">
        <v>0</v>
      </c>
      <c r="AT11" s="62">
        <v>0</v>
      </c>
      <c r="AU11" s="62">
        <v>0</v>
      </c>
      <c r="AV11" s="62">
        <f t="shared" si="11"/>
        <v>0</v>
      </c>
      <c r="AW11" s="62">
        <v>0</v>
      </c>
      <c r="AX11" s="62">
        <f t="shared" si="3"/>
        <v>0</v>
      </c>
      <c r="AY11" s="65"/>
      <c r="AZ11" s="54"/>
      <c r="BA11" s="54"/>
      <c r="BB11" s="54"/>
      <c r="BC11" s="54"/>
      <c r="BD11" s="54"/>
      <c r="BE11" s="54"/>
      <c r="BF11" s="54"/>
      <c r="BG11" s="66" t="str">
        <f t="shared" si="12"/>
        <v>description: "Ошибка", note: "Наличие некритической ошибки", group: "measurement", minValue: null, maxValue: null, step: null, units: "null", defaultValue: null, eventRegistration: 0</v>
      </c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18"/>
      <c r="BC12" s="4"/>
      <c r="BD12" s="18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18"/>
      <c r="BC13" s="4"/>
      <c r="BD13" s="18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18"/>
      <c r="BC14" s="4"/>
      <c r="BD14" s="18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8"/>
      <c r="BC15" s="4"/>
      <c r="BD15" s="1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8"/>
  <sheetViews>
    <sheetView topLeftCell="AH1" zoomScale="80" zoomScaleNormal="80" workbookViewId="0">
      <selection activeCell="AU22" sqref="AU2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0.28515625" style="2" bestFit="1" customWidth="1" outlineLevel="1"/>
    <col min="7" max="7" width="22.140625" style="2" bestFit="1" customWidth="1" outlineLevel="1"/>
    <col min="8" max="8" width="33.140625" style="2" bestFit="1" customWidth="1" outlineLevel="1"/>
    <col min="9" max="9" width="15.7109375" style="2" customWidth="1"/>
    <col min="10" max="10" width="33.5703125" style="2" bestFit="1" customWidth="1"/>
    <col min="11" max="11" width="34.57031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7.8554687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SUM(AA3:AA75)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82"/>
      <c r="AZ1" s="106" t="s">
        <v>0</v>
      </c>
      <c r="BA1" s="107"/>
      <c r="BB1" s="107"/>
      <c r="BC1" s="107"/>
      <c r="BD1" s="107"/>
      <c r="BE1" s="107"/>
      <c r="BF1" s="107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9" t="s">
        <v>7</v>
      </c>
      <c r="I2" s="9" t="s">
        <v>8</v>
      </c>
      <c r="J2" s="9" t="s">
        <v>104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102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74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98</v>
      </c>
      <c r="AC2" s="14" t="s">
        <v>99</v>
      </c>
      <c r="AD2" s="14" t="s">
        <v>100</v>
      </c>
      <c r="AE2" s="14" t="s">
        <v>101</v>
      </c>
      <c r="AF2" s="14" t="s">
        <v>24</v>
      </c>
      <c r="AG2" s="14" t="s">
        <v>25</v>
      </c>
      <c r="AH2" s="13" t="s">
        <v>26</v>
      </c>
      <c r="AI2" s="24" t="s">
        <v>97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103" t="s">
        <v>177</v>
      </c>
      <c r="AW2" s="103" t="s">
        <v>178</v>
      </c>
      <c r="AX2" s="103" t="s">
        <v>179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7" customFormat="1" ht="15.75" x14ac:dyDescent="0.25">
      <c r="A3" s="86"/>
      <c r="B3" s="104" t="s">
        <v>180</v>
      </c>
      <c r="C3" s="87"/>
      <c r="D3" s="97" t="s">
        <v>165</v>
      </c>
      <c r="E3" s="83" t="s">
        <v>75</v>
      </c>
      <c r="F3" s="19" t="s">
        <v>76</v>
      </c>
      <c r="G3" s="19" t="s">
        <v>76</v>
      </c>
      <c r="H3" s="82"/>
      <c r="I3" s="83">
        <f t="shared" ref="I3:I4" si="0">LEN(F3)</f>
        <v>4</v>
      </c>
      <c r="J3" s="83" t="str">
        <f>IF(LEN(F3)&lt;=$J$1,F3,"")</f>
        <v>Ввод</v>
      </c>
      <c r="K3" s="88" t="s">
        <v>130</v>
      </c>
      <c r="L3" s="89" t="s">
        <v>54</v>
      </c>
      <c r="M3" s="90" t="s">
        <v>51</v>
      </c>
      <c r="N3" s="90" t="s">
        <v>52</v>
      </c>
      <c r="O3" s="90"/>
      <c r="P3" s="30"/>
      <c r="Q3" s="30"/>
      <c r="R3" s="90" t="s">
        <v>53</v>
      </c>
      <c r="S3" s="90" t="s">
        <v>53</v>
      </c>
      <c r="T3" s="90" t="s">
        <v>53</v>
      </c>
      <c r="U3" s="90" t="s">
        <v>53</v>
      </c>
      <c r="V3" s="87"/>
      <c r="W3" s="87"/>
      <c r="X3" s="90" t="s">
        <v>53</v>
      </c>
      <c r="Y3" s="90">
        <v>2</v>
      </c>
      <c r="Z3" s="87"/>
      <c r="AA3" s="85">
        <v>0</v>
      </c>
      <c r="AB3" s="85"/>
      <c r="AC3" s="85"/>
      <c r="AD3" s="85"/>
      <c r="AE3" s="85"/>
      <c r="AF3" s="85">
        <v>0</v>
      </c>
      <c r="AG3" s="85">
        <v>0</v>
      </c>
      <c r="AH3" s="85">
        <v>0</v>
      </c>
      <c r="AI3" s="92"/>
      <c r="AJ3" s="37"/>
      <c r="AK3" s="37"/>
      <c r="AL3" s="37"/>
      <c r="AM3" s="37"/>
      <c r="AN3" s="37"/>
      <c r="AO3" s="37"/>
      <c r="AP3" s="37"/>
      <c r="AQ3" s="37"/>
      <c r="AR3" s="87">
        <v>0</v>
      </c>
      <c r="AS3" s="87">
        <v>1</v>
      </c>
      <c r="AT3" s="87">
        <v>0</v>
      </c>
      <c r="AU3" s="87">
        <v>1</v>
      </c>
      <c r="AV3" s="87">
        <v>1</v>
      </c>
      <c r="AW3" s="87">
        <v>1</v>
      </c>
      <c r="AX3" s="87">
        <v>1</v>
      </c>
      <c r="AY3" s="91"/>
      <c r="AZ3" s="87"/>
      <c r="BA3" s="87"/>
      <c r="BB3" s="87"/>
      <c r="BC3" s="87"/>
      <c r="BD3" s="87"/>
      <c r="BE3" s="87"/>
      <c r="BF3" s="87"/>
      <c r="BG3" s="84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7" customFormat="1" ht="15.75" x14ac:dyDescent="0.25">
      <c r="A4" s="86"/>
      <c r="B4" s="104" t="s">
        <v>180</v>
      </c>
      <c r="C4" s="87"/>
      <c r="D4" s="97" t="s">
        <v>165</v>
      </c>
      <c r="E4" s="83" t="s">
        <v>77</v>
      </c>
      <c r="F4" s="19" t="s">
        <v>109</v>
      </c>
      <c r="G4" s="19" t="s">
        <v>109</v>
      </c>
      <c r="H4" s="82"/>
      <c r="I4" s="83">
        <f t="shared" si="0"/>
        <v>17</v>
      </c>
      <c r="J4" s="83" t="str">
        <f t="shared" ref="J4" si="2">IF(LEN(F4)&lt;=$J$1,F4,"")</f>
        <v>Оперативный вывод</v>
      </c>
      <c r="K4" s="88" t="s">
        <v>131</v>
      </c>
      <c r="L4" s="89" t="s">
        <v>54</v>
      </c>
      <c r="M4" s="90" t="s">
        <v>51</v>
      </c>
      <c r="N4" s="90" t="s">
        <v>52</v>
      </c>
      <c r="O4" s="90"/>
      <c r="P4" s="30"/>
      <c r="Q4" s="30"/>
      <c r="R4" s="90" t="s">
        <v>53</v>
      </c>
      <c r="S4" s="90" t="s">
        <v>53</v>
      </c>
      <c r="T4" s="90" t="s">
        <v>53</v>
      </c>
      <c r="U4" s="90" t="s">
        <v>53</v>
      </c>
      <c r="V4" s="87"/>
      <c r="W4" s="87"/>
      <c r="X4" s="90" t="s">
        <v>53</v>
      </c>
      <c r="Y4" s="90">
        <v>2</v>
      </c>
      <c r="Z4" s="87"/>
      <c r="AA4" s="85">
        <v>0</v>
      </c>
      <c r="AB4" s="85"/>
      <c r="AC4" s="85"/>
      <c r="AD4" s="85"/>
      <c r="AE4" s="85"/>
      <c r="AF4" s="85">
        <v>0</v>
      </c>
      <c r="AG4" s="85">
        <v>0</v>
      </c>
      <c r="AH4" s="85">
        <v>0</v>
      </c>
      <c r="AI4" s="92"/>
      <c r="AJ4" s="37"/>
      <c r="AK4" s="37"/>
      <c r="AL4" s="37"/>
      <c r="AM4" s="37"/>
      <c r="AN4" s="37"/>
      <c r="AO4" s="37"/>
      <c r="AP4" s="37"/>
      <c r="AQ4" s="37"/>
      <c r="AR4" s="87">
        <v>0</v>
      </c>
      <c r="AS4" s="87">
        <v>1</v>
      </c>
      <c r="AT4" s="87">
        <v>0</v>
      </c>
      <c r="AU4" s="87">
        <v>1</v>
      </c>
      <c r="AV4" s="87">
        <v>1</v>
      </c>
      <c r="AW4" s="87">
        <v>1</v>
      </c>
      <c r="AX4" s="87">
        <v>1</v>
      </c>
      <c r="AY4" s="91"/>
      <c r="AZ4" s="87"/>
      <c r="BA4" s="87"/>
      <c r="BB4" s="87"/>
      <c r="BC4" s="87"/>
      <c r="BD4" s="87"/>
      <c r="BE4" s="87"/>
      <c r="BF4" s="87"/>
      <c r="BG4" s="8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7" customFormat="1" ht="15.75" x14ac:dyDescent="0.25">
      <c r="A5" s="86"/>
      <c r="B5" s="104" t="s">
        <v>180</v>
      </c>
      <c r="C5" s="87"/>
      <c r="D5" s="97" t="s">
        <v>165</v>
      </c>
      <c r="E5" s="83" t="s">
        <v>133</v>
      </c>
      <c r="F5" s="19" t="s">
        <v>133</v>
      </c>
      <c r="G5" s="19" t="s">
        <v>133</v>
      </c>
      <c r="H5" s="82"/>
      <c r="I5" s="83">
        <f>LEN(F5)</f>
        <v>10</v>
      </c>
      <c r="J5" s="83" t="str">
        <f>IF(LEN(F5)&lt;=$J$1,F5,"")</f>
        <v>Отключение</v>
      </c>
      <c r="K5" s="88" t="s">
        <v>132</v>
      </c>
      <c r="L5" s="89" t="s">
        <v>54</v>
      </c>
      <c r="M5" s="90" t="s">
        <v>51</v>
      </c>
      <c r="N5" s="90" t="s">
        <v>52</v>
      </c>
      <c r="O5" s="90"/>
      <c r="P5" s="30"/>
      <c r="Q5" s="30"/>
      <c r="R5" s="90" t="s">
        <v>53</v>
      </c>
      <c r="S5" s="90" t="s">
        <v>53</v>
      </c>
      <c r="T5" s="90" t="s">
        <v>53</v>
      </c>
      <c r="U5" s="90" t="s">
        <v>53</v>
      </c>
      <c r="V5" s="87"/>
      <c r="W5" s="87"/>
      <c r="X5" s="90" t="s">
        <v>53</v>
      </c>
      <c r="Y5" s="90">
        <v>2</v>
      </c>
      <c r="Z5" s="87"/>
      <c r="AA5" s="85">
        <v>0</v>
      </c>
      <c r="AB5" s="85"/>
      <c r="AC5" s="85"/>
      <c r="AD5" s="85"/>
      <c r="AE5" s="85"/>
      <c r="AF5" s="85">
        <v>0</v>
      </c>
      <c r="AG5" s="85">
        <v>0</v>
      </c>
      <c r="AH5" s="85">
        <v>0</v>
      </c>
      <c r="AI5" s="92" t="s">
        <v>143</v>
      </c>
      <c r="AJ5" s="37" t="s">
        <v>148</v>
      </c>
      <c r="AK5" s="37" t="s">
        <v>116</v>
      </c>
      <c r="AL5" s="37" t="s">
        <v>78</v>
      </c>
      <c r="AM5" s="37" t="s">
        <v>110</v>
      </c>
      <c r="AN5" s="37"/>
      <c r="AO5" s="37" t="s">
        <v>67</v>
      </c>
      <c r="AP5" s="37" t="str">
        <f>CONCATENATE(AJ5, ".", AL5)</f>
        <v>LVCBPTRC1.Op.general</v>
      </c>
      <c r="AQ5" s="37" t="s">
        <v>63</v>
      </c>
      <c r="AR5" s="87">
        <v>0</v>
      </c>
      <c r="AS5" s="87">
        <v>1</v>
      </c>
      <c r="AT5" s="87">
        <v>0</v>
      </c>
      <c r="AU5" s="87">
        <v>1</v>
      </c>
      <c r="AV5" s="87">
        <v>1</v>
      </c>
      <c r="AW5" s="87">
        <v>1</v>
      </c>
      <c r="AX5" s="87">
        <v>1</v>
      </c>
      <c r="AY5" s="91"/>
      <c r="AZ5" s="87"/>
      <c r="BA5" s="87"/>
      <c r="BB5" s="87"/>
      <c r="BC5" s="87"/>
      <c r="BD5" s="87"/>
      <c r="BE5" s="87"/>
      <c r="BF5" s="87"/>
      <c r="BG5" s="84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"Отключение", note: "Отключение", group: "status", minValue: null, maxValue: null, step: null, units: "null", defaultValue: null, eventRegistration: 2</v>
      </c>
    </row>
    <row r="6" spans="1:16379" s="17" customFormat="1" ht="15.75" x14ac:dyDescent="0.25">
      <c r="A6" s="86"/>
      <c r="B6" s="104" t="s">
        <v>180</v>
      </c>
      <c r="C6" s="87"/>
      <c r="D6" s="97" t="s">
        <v>165</v>
      </c>
      <c r="E6" s="83" t="s">
        <v>134</v>
      </c>
      <c r="F6" s="19" t="s">
        <v>134</v>
      </c>
      <c r="G6" s="19" t="s">
        <v>134</v>
      </c>
      <c r="H6" s="82"/>
      <c r="I6" s="83">
        <f>LEN(F6)</f>
        <v>18</v>
      </c>
      <c r="J6" s="83" t="str">
        <f>IF(LEN(F6)&lt;=$J$1,F6,"")</f>
        <v>Отключить аварийно</v>
      </c>
      <c r="K6" s="88" t="s">
        <v>135</v>
      </c>
      <c r="L6" s="89" t="s">
        <v>54</v>
      </c>
      <c r="M6" s="90" t="s">
        <v>51</v>
      </c>
      <c r="N6" s="90" t="s">
        <v>52</v>
      </c>
      <c r="O6" s="90"/>
      <c r="P6" s="30"/>
      <c r="Q6" s="30"/>
      <c r="R6" s="90" t="s">
        <v>53</v>
      </c>
      <c r="S6" s="90" t="s">
        <v>53</v>
      </c>
      <c r="T6" s="90" t="s">
        <v>53</v>
      </c>
      <c r="U6" s="90" t="s">
        <v>53</v>
      </c>
      <c r="V6" s="87"/>
      <c r="W6" s="87"/>
      <c r="X6" s="90" t="s">
        <v>53</v>
      </c>
      <c r="Y6" s="90">
        <v>2</v>
      </c>
      <c r="Z6" s="87"/>
      <c r="AA6" s="85">
        <v>0</v>
      </c>
      <c r="AB6" s="85"/>
      <c r="AC6" s="85"/>
      <c r="AD6" s="85"/>
      <c r="AE6" s="85"/>
      <c r="AF6" s="85">
        <v>0</v>
      </c>
      <c r="AG6" s="85">
        <v>0</v>
      </c>
      <c r="AH6" s="85">
        <v>0</v>
      </c>
      <c r="AI6" s="92" t="s">
        <v>143</v>
      </c>
      <c r="AJ6" s="37" t="s">
        <v>149</v>
      </c>
      <c r="AK6" s="37" t="s">
        <v>116</v>
      </c>
      <c r="AL6" s="37" t="s">
        <v>78</v>
      </c>
      <c r="AM6" s="37" t="s">
        <v>110</v>
      </c>
      <c r="AN6" s="37"/>
      <c r="AO6" s="37" t="s">
        <v>67</v>
      </c>
      <c r="AP6" s="37" t="str">
        <f>CONCATENATE(AJ6, ".", AL6)</f>
        <v>LVCBPTRC1.Tr.general</v>
      </c>
      <c r="AQ6" s="37" t="s">
        <v>63</v>
      </c>
      <c r="AR6" s="87">
        <v>0</v>
      </c>
      <c r="AS6" s="87">
        <v>1</v>
      </c>
      <c r="AT6" s="87">
        <v>0</v>
      </c>
      <c r="AU6" s="87">
        <v>1</v>
      </c>
      <c r="AV6" s="87">
        <v>1</v>
      </c>
      <c r="AW6" s="87">
        <v>1</v>
      </c>
      <c r="AX6" s="87">
        <v>1</v>
      </c>
      <c r="AY6" s="91"/>
      <c r="AZ6" s="87"/>
      <c r="BA6" s="87"/>
      <c r="BB6" s="87"/>
      <c r="BC6" s="87"/>
      <c r="BD6" s="87"/>
      <c r="BE6" s="87"/>
      <c r="BF6" s="87"/>
      <c r="BG6" s="84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"Отключить аварийно", note: "Отключить аварийно", group: "status", minValue: null, maxValue: null, step: null, units: "null", defaultValue: null, eventRegistration: 2</v>
      </c>
    </row>
    <row r="7" spans="1:16379" s="79" customFormat="1" ht="15.75" x14ac:dyDescent="0.25">
      <c r="A7" s="69"/>
      <c r="B7" s="104" t="s">
        <v>180</v>
      </c>
      <c r="C7" s="70"/>
      <c r="D7" s="98" t="s">
        <v>162</v>
      </c>
      <c r="E7" s="41" t="s">
        <v>75</v>
      </c>
      <c r="F7" s="71" t="s">
        <v>76</v>
      </c>
      <c r="G7" s="71" t="s">
        <v>76</v>
      </c>
      <c r="H7" s="72"/>
      <c r="I7" s="41">
        <f t="shared" ref="I7:I8" si="3">LEN(F7)</f>
        <v>4</v>
      </c>
      <c r="J7" s="41" t="str">
        <f>IF(LEN(F7)&lt;=$J$1,F7,"")</f>
        <v>Ввод</v>
      </c>
      <c r="K7" s="73" t="s">
        <v>136</v>
      </c>
      <c r="L7" s="74" t="s">
        <v>54</v>
      </c>
      <c r="M7" s="75" t="s">
        <v>51</v>
      </c>
      <c r="N7" s="75" t="s">
        <v>52</v>
      </c>
      <c r="O7" s="75"/>
      <c r="P7" s="43"/>
      <c r="Q7" s="43"/>
      <c r="R7" s="75" t="s">
        <v>53</v>
      </c>
      <c r="S7" s="75" t="s">
        <v>53</v>
      </c>
      <c r="T7" s="75" t="s">
        <v>53</v>
      </c>
      <c r="U7" s="75" t="s">
        <v>53</v>
      </c>
      <c r="V7" s="70"/>
      <c r="W7" s="70"/>
      <c r="X7" s="75" t="s">
        <v>53</v>
      </c>
      <c r="Y7" s="75">
        <v>2</v>
      </c>
      <c r="Z7" s="70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6"/>
      <c r="AJ7" s="76"/>
      <c r="AK7" s="76"/>
      <c r="AL7" s="76"/>
      <c r="AM7" s="76"/>
      <c r="AN7" s="76"/>
      <c r="AO7" s="76"/>
      <c r="AP7" s="76"/>
      <c r="AQ7" s="76"/>
      <c r="AR7" s="70">
        <v>0</v>
      </c>
      <c r="AS7" s="70">
        <v>1</v>
      </c>
      <c r="AT7" s="70">
        <v>0</v>
      </c>
      <c r="AU7" s="70">
        <v>1</v>
      </c>
      <c r="AV7" s="70">
        <v>1</v>
      </c>
      <c r="AW7" s="70">
        <v>1</v>
      </c>
      <c r="AX7" s="70">
        <v>1</v>
      </c>
      <c r="AY7" s="77"/>
      <c r="AZ7" s="70"/>
      <c r="BA7" s="70"/>
      <c r="BB7" s="70"/>
      <c r="BC7" s="70"/>
      <c r="BD7" s="70"/>
      <c r="BE7" s="70"/>
      <c r="BF7" s="70"/>
      <c r="BG7" s="78" t="str">
        <f t="shared" ref="BG7:BG8" si="4">CONCATENATE("description: """,F7,"""", ", ", "note: """,E7,"""",", ","group: """, B7, """",", ","minValue: ", S7,", ","maxValue: ", T7,", ","step: ", U7,", ","units: """, R7, """",", ","defaultValue: ", X7,", ","eventRegistration: ", Y7,)</f>
        <v>description: "Ввод", note: "Функция введена в работу", group: "status", minValue: null, maxValue: null, step: null, units: "null", defaultValue: null, eventRegistration: 2</v>
      </c>
    </row>
    <row r="8" spans="1:16379" s="79" customFormat="1" ht="15.75" x14ac:dyDescent="0.25">
      <c r="A8" s="69"/>
      <c r="B8" s="104" t="s">
        <v>180</v>
      </c>
      <c r="C8" s="70"/>
      <c r="D8" s="98" t="s">
        <v>162</v>
      </c>
      <c r="E8" s="41" t="s">
        <v>77</v>
      </c>
      <c r="F8" s="71" t="s">
        <v>109</v>
      </c>
      <c r="G8" s="71" t="s">
        <v>109</v>
      </c>
      <c r="H8" s="72"/>
      <c r="I8" s="41">
        <f t="shared" si="3"/>
        <v>17</v>
      </c>
      <c r="J8" s="41" t="str">
        <f t="shared" ref="J8" si="5">IF(LEN(F8)&lt;=$J$1,F8,"")</f>
        <v>Оперативный вывод</v>
      </c>
      <c r="K8" s="73" t="s">
        <v>137</v>
      </c>
      <c r="L8" s="74" t="s">
        <v>54</v>
      </c>
      <c r="M8" s="75" t="s">
        <v>51</v>
      </c>
      <c r="N8" s="75" t="s">
        <v>52</v>
      </c>
      <c r="O8" s="75"/>
      <c r="P8" s="43"/>
      <c r="Q8" s="43"/>
      <c r="R8" s="75" t="s">
        <v>53</v>
      </c>
      <c r="S8" s="75" t="s">
        <v>53</v>
      </c>
      <c r="T8" s="75" t="s">
        <v>53</v>
      </c>
      <c r="U8" s="75" t="s">
        <v>53</v>
      </c>
      <c r="V8" s="70"/>
      <c r="W8" s="70"/>
      <c r="X8" s="75" t="s">
        <v>53</v>
      </c>
      <c r="Y8" s="75">
        <v>2</v>
      </c>
      <c r="Z8" s="70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6"/>
      <c r="AJ8" s="76"/>
      <c r="AK8" s="76"/>
      <c r="AL8" s="76"/>
      <c r="AM8" s="76"/>
      <c r="AN8" s="76"/>
      <c r="AO8" s="76"/>
      <c r="AP8" s="76"/>
      <c r="AQ8" s="76"/>
      <c r="AR8" s="70">
        <v>0</v>
      </c>
      <c r="AS8" s="70">
        <v>1</v>
      </c>
      <c r="AT8" s="70">
        <v>0</v>
      </c>
      <c r="AU8" s="70">
        <v>1</v>
      </c>
      <c r="AV8" s="70">
        <v>1</v>
      </c>
      <c r="AW8" s="70">
        <v>1</v>
      </c>
      <c r="AX8" s="70">
        <v>1</v>
      </c>
      <c r="AY8" s="77"/>
      <c r="AZ8" s="70"/>
      <c r="BA8" s="70"/>
      <c r="BB8" s="70"/>
      <c r="BC8" s="70"/>
      <c r="BD8" s="70"/>
      <c r="BE8" s="70"/>
      <c r="BF8" s="70"/>
      <c r="BG8" s="78" t="str">
        <f t="shared" si="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9" spans="1:16379" s="79" customFormat="1" ht="15.75" x14ac:dyDescent="0.25">
      <c r="A9" s="69"/>
      <c r="B9" s="104" t="s">
        <v>180</v>
      </c>
      <c r="C9" s="70"/>
      <c r="D9" s="98" t="s">
        <v>162</v>
      </c>
      <c r="E9" s="41" t="s">
        <v>117</v>
      </c>
      <c r="F9" s="71" t="s">
        <v>117</v>
      </c>
      <c r="G9" s="71" t="s">
        <v>117</v>
      </c>
      <c r="H9" s="72"/>
      <c r="I9" s="41">
        <f t="shared" ref="I9:I15" si="6">LEN(F9)</f>
        <v>10</v>
      </c>
      <c r="J9" s="41" t="str">
        <f t="shared" ref="J9:J15" si="7">IF(LEN(F9)&lt;=$J$1,F9,"")</f>
        <v>Запрет АПВ</v>
      </c>
      <c r="K9" s="73" t="s">
        <v>138</v>
      </c>
      <c r="L9" s="74" t="s">
        <v>54</v>
      </c>
      <c r="M9" s="75" t="s">
        <v>51</v>
      </c>
      <c r="N9" s="75" t="s">
        <v>52</v>
      </c>
      <c r="O9" s="75"/>
      <c r="P9" s="43"/>
      <c r="Q9" s="43"/>
      <c r="R9" s="75" t="s">
        <v>53</v>
      </c>
      <c r="S9" s="75" t="s">
        <v>53</v>
      </c>
      <c r="T9" s="75" t="s">
        <v>53</v>
      </c>
      <c r="U9" s="75" t="s">
        <v>53</v>
      </c>
      <c r="V9" s="70"/>
      <c r="W9" s="70"/>
      <c r="X9" s="75" t="s">
        <v>53</v>
      </c>
      <c r="Y9" s="75">
        <v>2</v>
      </c>
      <c r="Z9" s="70"/>
      <c r="AA9" s="45">
        <v>0</v>
      </c>
      <c r="AB9" s="45"/>
      <c r="AC9" s="45"/>
      <c r="AD9" s="45"/>
      <c r="AE9" s="45"/>
      <c r="AF9" s="45">
        <v>0</v>
      </c>
      <c r="AG9" s="45">
        <v>0</v>
      </c>
      <c r="AH9" s="45">
        <v>0</v>
      </c>
      <c r="AI9" s="46" t="s">
        <v>118</v>
      </c>
      <c r="AJ9" s="76" t="s">
        <v>150</v>
      </c>
      <c r="AK9" s="76" t="s">
        <v>119</v>
      </c>
      <c r="AL9" s="76" t="s">
        <v>64</v>
      </c>
      <c r="AM9" s="76" t="s">
        <v>110</v>
      </c>
      <c r="AN9" s="76"/>
      <c r="AO9" s="76" t="s">
        <v>67</v>
      </c>
      <c r="AP9" s="76" t="str">
        <f>CONCATENATE(AJ9, ".", AL9)</f>
        <v>LVCBRECRBRE1.BlkOp.stVal</v>
      </c>
      <c r="AQ9" s="76" t="s">
        <v>63</v>
      </c>
      <c r="AR9" s="70">
        <v>0</v>
      </c>
      <c r="AS9" s="70">
        <v>1</v>
      </c>
      <c r="AT9" s="70">
        <v>0</v>
      </c>
      <c r="AU9" s="70">
        <v>1</v>
      </c>
      <c r="AV9" s="70">
        <v>1</v>
      </c>
      <c r="AW9" s="70">
        <v>1</v>
      </c>
      <c r="AX9" s="70">
        <v>1</v>
      </c>
      <c r="AY9" s="77"/>
      <c r="AZ9" s="70"/>
      <c r="BA9" s="70"/>
      <c r="BB9" s="70"/>
      <c r="BC9" s="70"/>
      <c r="BD9" s="70"/>
      <c r="BE9" s="70"/>
      <c r="BF9" s="70"/>
      <c r="BG9" s="78" t="str">
        <f t="shared" ref="BG9:BG15" si="8">CONCATENATE("description: """,F9,"""", ", ", "note: """,E9,"""",", ","group: """, B9, """",", ","minValue: ", S9,", ","maxValue: ", T9,", ","step: ", U9,", ","units: """, R9, """",", ","defaultValue: ", X9,", ","eventRegistration: ", Y9,)</f>
        <v>description: "Запрет АПВ", note: "Запрет АПВ", group: "status", minValue: null, maxValue: null, step: null, units: "null", defaultValue: null, eventRegistration: 2</v>
      </c>
    </row>
    <row r="10" spans="1:16379" s="67" customFormat="1" ht="15.75" x14ac:dyDescent="0.25">
      <c r="A10" s="52"/>
      <c r="B10" s="104" t="s">
        <v>180</v>
      </c>
      <c r="C10" s="54"/>
      <c r="D10" s="99"/>
      <c r="E10" s="56" t="s">
        <v>79</v>
      </c>
      <c r="F10" s="56" t="s">
        <v>80</v>
      </c>
      <c r="G10" s="56" t="s">
        <v>80</v>
      </c>
      <c r="H10" s="54"/>
      <c r="I10" s="56">
        <f t="shared" si="6"/>
        <v>12</v>
      </c>
      <c r="J10" s="56" t="str">
        <f t="shared" si="7"/>
        <v>Поведение LD</v>
      </c>
      <c r="K10" s="58" t="s">
        <v>81</v>
      </c>
      <c r="L10" s="59" t="s">
        <v>57</v>
      </c>
      <c r="M10" s="61" t="s">
        <v>51</v>
      </c>
      <c r="N10" s="61" t="s">
        <v>52</v>
      </c>
      <c r="O10" s="61"/>
      <c r="P10" s="54"/>
      <c r="Q10" s="54"/>
      <c r="R10" s="61" t="s">
        <v>53</v>
      </c>
      <c r="S10" s="61" t="s">
        <v>53</v>
      </c>
      <c r="T10" s="61" t="s">
        <v>53</v>
      </c>
      <c r="U10" s="61" t="s">
        <v>53</v>
      </c>
      <c r="V10" s="54"/>
      <c r="W10" s="54"/>
      <c r="X10" s="61" t="s">
        <v>53</v>
      </c>
      <c r="Y10" s="61">
        <v>0</v>
      </c>
      <c r="Z10" s="54"/>
      <c r="AA10" s="62">
        <v>0</v>
      </c>
      <c r="AB10" s="62"/>
      <c r="AC10" s="62"/>
      <c r="AD10" s="62"/>
      <c r="AE10" s="62"/>
      <c r="AF10" s="62">
        <v>0</v>
      </c>
      <c r="AG10" s="62">
        <v>0</v>
      </c>
      <c r="AH10" s="62">
        <v>0</v>
      </c>
      <c r="AI10" s="63" t="s">
        <v>96</v>
      </c>
      <c r="AJ10" s="64" t="s">
        <v>113</v>
      </c>
      <c r="AK10" s="64" t="s">
        <v>82</v>
      </c>
      <c r="AL10" s="64" t="s">
        <v>64</v>
      </c>
      <c r="AM10" s="64" t="s">
        <v>65</v>
      </c>
      <c r="AN10" s="64" t="s">
        <v>66</v>
      </c>
      <c r="AO10" s="64" t="s">
        <v>67</v>
      </c>
      <c r="AP10" s="64" t="str">
        <f t="shared" ref="AP10:AP13" si="9">CONCATENATE(AJ10, ".", AL10)</f>
        <v>LLN0.Beh.stVal</v>
      </c>
      <c r="AQ10" s="64" t="s">
        <v>63</v>
      </c>
      <c r="AR10" s="54">
        <v>0</v>
      </c>
      <c r="AS10" s="54">
        <v>0</v>
      </c>
      <c r="AT10" s="54">
        <v>0</v>
      </c>
      <c r="AU10" s="54">
        <v>0</v>
      </c>
      <c r="AV10" s="54">
        <f t="shared" ref="AV10:AV13" si="10">BIN2DEC(CONCATENATE(0,0,0,0,AR10,AS10,AT10,AU10))</f>
        <v>0</v>
      </c>
      <c r="AW10" s="54">
        <v>0</v>
      </c>
      <c r="AX10" s="54">
        <v>0</v>
      </c>
      <c r="AY10" s="65"/>
      <c r="AZ10" s="54"/>
      <c r="BA10" s="54"/>
      <c r="BB10" s="54"/>
      <c r="BC10" s="54"/>
      <c r="BD10" s="54"/>
      <c r="BE10" s="54"/>
      <c r="BF10" s="54"/>
      <c r="BG10" s="80" t="str">
        <f t="shared" si="8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67" customFormat="1" ht="15.75" x14ac:dyDescent="0.25">
      <c r="A11" s="52"/>
      <c r="B11" s="104" t="s">
        <v>180</v>
      </c>
      <c r="C11" s="54"/>
      <c r="D11" s="99"/>
      <c r="E11" s="56" t="s">
        <v>83</v>
      </c>
      <c r="F11" s="56" t="s">
        <v>84</v>
      </c>
      <c r="G11" s="56" t="s">
        <v>84</v>
      </c>
      <c r="H11" s="54"/>
      <c r="I11" s="56">
        <f t="shared" si="6"/>
        <v>14</v>
      </c>
      <c r="J11" s="56" t="str">
        <f t="shared" si="7"/>
        <v>Исправность LD</v>
      </c>
      <c r="K11" s="58" t="s">
        <v>85</v>
      </c>
      <c r="L11" s="59" t="s">
        <v>57</v>
      </c>
      <c r="M11" s="61" t="s">
        <v>51</v>
      </c>
      <c r="N11" s="61" t="s">
        <v>52</v>
      </c>
      <c r="O11" s="61"/>
      <c r="P11" s="81"/>
      <c r="Q11" s="81"/>
      <c r="R11" s="61" t="s">
        <v>53</v>
      </c>
      <c r="S11" s="61" t="s">
        <v>53</v>
      </c>
      <c r="T11" s="61" t="s">
        <v>53</v>
      </c>
      <c r="U11" s="61" t="s">
        <v>53</v>
      </c>
      <c r="V11" s="54"/>
      <c r="W11" s="54"/>
      <c r="X11" s="61" t="s">
        <v>53</v>
      </c>
      <c r="Y11" s="61">
        <v>0</v>
      </c>
      <c r="Z11" s="54"/>
      <c r="AA11" s="62">
        <v>0</v>
      </c>
      <c r="AB11" s="62"/>
      <c r="AC11" s="62"/>
      <c r="AD11" s="62"/>
      <c r="AE11" s="62"/>
      <c r="AF11" s="62">
        <v>0</v>
      </c>
      <c r="AG11" s="62">
        <v>0</v>
      </c>
      <c r="AH11" s="62">
        <v>0</v>
      </c>
      <c r="AI11" s="63" t="s">
        <v>96</v>
      </c>
      <c r="AJ11" s="64" t="s">
        <v>114</v>
      </c>
      <c r="AK11" s="64" t="s">
        <v>82</v>
      </c>
      <c r="AL11" s="64" t="s">
        <v>64</v>
      </c>
      <c r="AM11" s="64" t="s">
        <v>65</v>
      </c>
      <c r="AN11" s="64" t="s">
        <v>86</v>
      </c>
      <c r="AO11" s="64" t="s">
        <v>67</v>
      </c>
      <c r="AP11" s="64" t="str">
        <f t="shared" si="9"/>
        <v>LLN0.Health.stVal</v>
      </c>
      <c r="AQ11" s="64" t="s">
        <v>63</v>
      </c>
      <c r="AR11" s="54">
        <v>0</v>
      </c>
      <c r="AS11" s="54">
        <v>0</v>
      </c>
      <c r="AT11" s="54">
        <v>0</v>
      </c>
      <c r="AU11" s="54">
        <v>0</v>
      </c>
      <c r="AV11" s="54">
        <f t="shared" si="10"/>
        <v>0</v>
      </c>
      <c r="AW11" s="54">
        <v>0</v>
      </c>
      <c r="AX11" s="54">
        <v>0</v>
      </c>
      <c r="AY11" s="65"/>
      <c r="AZ11" s="54"/>
      <c r="BA11" s="54"/>
      <c r="BB11" s="54"/>
      <c r="BC11" s="54"/>
      <c r="BD11" s="54"/>
      <c r="BE11" s="54"/>
      <c r="BF11" s="54"/>
      <c r="BG11" s="80" t="str">
        <f t="shared" si="8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17" customFormat="1" ht="15.75" x14ac:dyDescent="0.25">
      <c r="A12" s="86"/>
      <c r="B12" s="104" t="s">
        <v>180</v>
      </c>
      <c r="C12" s="87"/>
      <c r="D12" s="97" t="s">
        <v>165</v>
      </c>
      <c r="E12" s="83" t="s">
        <v>166</v>
      </c>
      <c r="F12" s="83" t="s">
        <v>87</v>
      </c>
      <c r="G12" s="83" t="s">
        <v>87</v>
      </c>
      <c r="H12" s="87"/>
      <c r="I12" s="83">
        <f t="shared" si="6"/>
        <v>9</v>
      </c>
      <c r="J12" s="83" t="str">
        <f t="shared" si="7"/>
        <v>Поведение</v>
      </c>
      <c r="K12" s="88" t="s">
        <v>139</v>
      </c>
      <c r="L12" s="89" t="s">
        <v>57</v>
      </c>
      <c r="M12" s="90" t="s">
        <v>51</v>
      </c>
      <c r="N12" s="90" t="s">
        <v>52</v>
      </c>
      <c r="O12" s="90"/>
      <c r="P12" s="87"/>
      <c r="Q12" s="87"/>
      <c r="R12" s="90" t="s">
        <v>53</v>
      </c>
      <c r="S12" s="90" t="s">
        <v>53</v>
      </c>
      <c r="T12" s="90" t="s">
        <v>53</v>
      </c>
      <c r="U12" s="90" t="s">
        <v>53</v>
      </c>
      <c r="V12" s="87"/>
      <c r="W12" s="87"/>
      <c r="X12" s="90" t="s">
        <v>53</v>
      </c>
      <c r="Y12" s="90">
        <v>0</v>
      </c>
      <c r="Z12" s="87"/>
      <c r="AA12" s="85">
        <v>0</v>
      </c>
      <c r="AB12" s="85"/>
      <c r="AC12" s="85"/>
      <c r="AD12" s="85"/>
      <c r="AE12" s="85"/>
      <c r="AF12" s="85">
        <v>0</v>
      </c>
      <c r="AG12" s="85">
        <v>0</v>
      </c>
      <c r="AH12" s="85">
        <v>0</v>
      </c>
      <c r="AI12" s="92" t="s">
        <v>143</v>
      </c>
      <c r="AJ12" s="37" t="s">
        <v>144</v>
      </c>
      <c r="AK12" s="37" t="s">
        <v>82</v>
      </c>
      <c r="AL12" s="37" t="s">
        <v>64</v>
      </c>
      <c r="AM12" s="37" t="s">
        <v>65</v>
      </c>
      <c r="AN12" s="37" t="s">
        <v>66</v>
      </c>
      <c r="AO12" s="37" t="s">
        <v>67</v>
      </c>
      <c r="AP12" s="37" t="str">
        <f t="shared" si="9"/>
        <v>LVCBPTRC1.Beh.stVal</v>
      </c>
      <c r="AQ12" s="37" t="s">
        <v>63</v>
      </c>
      <c r="AR12" s="87">
        <v>0</v>
      </c>
      <c r="AS12" s="87">
        <v>0</v>
      </c>
      <c r="AT12" s="87">
        <v>0</v>
      </c>
      <c r="AU12" s="87">
        <v>0</v>
      </c>
      <c r="AV12" s="87">
        <f t="shared" si="10"/>
        <v>0</v>
      </c>
      <c r="AW12" s="87">
        <v>0</v>
      </c>
      <c r="AX12" s="87">
        <v>0</v>
      </c>
      <c r="AY12" s="91"/>
      <c r="AZ12" s="87"/>
      <c r="BA12" s="87"/>
      <c r="BB12" s="87"/>
      <c r="BC12" s="87"/>
      <c r="BD12" s="87"/>
      <c r="BE12" s="87"/>
      <c r="BF12" s="87"/>
      <c r="BG12" s="84" t="str">
        <f t="shared" si="8"/>
        <v>description: "Поведение", note: "Индикация поведения логического узла ЛО", group: "status", minValue: null, maxValue: null, step: null, units: "null", defaultValue: null, eventRegistration: 0</v>
      </c>
    </row>
    <row r="13" spans="1:16379" s="17" customFormat="1" ht="15.75" x14ac:dyDescent="0.25">
      <c r="A13" s="86"/>
      <c r="B13" s="104" t="s">
        <v>180</v>
      </c>
      <c r="C13" s="87"/>
      <c r="D13" s="97" t="s">
        <v>165</v>
      </c>
      <c r="E13" s="83" t="s">
        <v>167</v>
      </c>
      <c r="F13" s="83" t="s">
        <v>88</v>
      </c>
      <c r="G13" s="83" t="s">
        <v>88</v>
      </c>
      <c r="H13" s="87"/>
      <c r="I13" s="83">
        <f t="shared" si="6"/>
        <v>11</v>
      </c>
      <c r="J13" s="83" t="str">
        <f t="shared" si="7"/>
        <v>Исправность</v>
      </c>
      <c r="K13" s="88" t="s">
        <v>140</v>
      </c>
      <c r="L13" s="89" t="s">
        <v>57</v>
      </c>
      <c r="M13" s="90" t="s">
        <v>51</v>
      </c>
      <c r="N13" s="90" t="s">
        <v>52</v>
      </c>
      <c r="O13" s="90"/>
      <c r="P13" s="30"/>
      <c r="Q13" s="30"/>
      <c r="R13" s="90" t="s">
        <v>53</v>
      </c>
      <c r="S13" s="90" t="s">
        <v>53</v>
      </c>
      <c r="T13" s="90" t="s">
        <v>53</v>
      </c>
      <c r="U13" s="90" t="s">
        <v>53</v>
      </c>
      <c r="V13" s="87"/>
      <c r="W13" s="87"/>
      <c r="X13" s="90" t="s">
        <v>53</v>
      </c>
      <c r="Y13" s="90">
        <v>0</v>
      </c>
      <c r="Z13" s="87"/>
      <c r="AA13" s="85">
        <v>0</v>
      </c>
      <c r="AB13" s="85"/>
      <c r="AC13" s="85"/>
      <c r="AD13" s="85"/>
      <c r="AE13" s="85"/>
      <c r="AF13" s="85">
        <v>0</v>
      </c>
      <c r="AG13" s="85">
        <v>0</v>
      </c>
      <c r="AH13" s="85">
        <v>0</v>
      </c>
      <c r="AI13" s="92" t="s">
        <v>143</v>
      </c>
      <c r="AJ13" s="37" t="s">
        <v>145</v>
      </c>
      <c r="AK13" s="37" t="s">
        <v>82</v>
      </c>
      <c r="AL13" s="37" t="s">
        <v>64</v>
      </c>
      <c r="AM13" s="37" t="s">
        <v>65</v>
      </c>
      <c r="AN13" s="37" t="s">
        <v>86</v>
      </c>
      <c r="AO13" s="37" t="s">
        <v>67</v>
      </c>
      <c r="AP13" s="37" t="str">
        <f t="shared" si="9"/>
        <v>LVCBPTRC1.Health.stVal</v>
      </c>
      <c r="AQ13" s="37" t="s">
        <v>63</v>
      </c>
      <c r="AR13" s="87">
        <v>0</v>
      </c>
      <c r="AS13" s="87">
        <v>0</v>
      </c>
      <c r="AT13" s="87">
        <v>0</v>
      </c>
      <c r="AU13" s="87">
        <v>0</v>
      </c>
      <c r="AV13" s="87">
        <f t="shared" si="10"/>
        <v>0</v>
      </c>
      <c r="AW13" s="87">
        <v>0</v>
      </c>
      <c r="AX13" s="87">
        <v>0</v>
      </c>
      <c r="AY13" s="91"/>
      <c r="AZ13" s="87"/>
      <c r="BA13" s="87"/>
      <c r="BB13" s="87"/>
      <c r="BC13" s="87"/>
      <c r="BD13" s="87"/>
      <c r="BE13" s="87"/>
      <c r="BF13" s="87"/>
      <c r="BG13" s="84" t="str">
        <f t="shared" si="8"/>
        <v>description: "Исправность", note: "Индикация исправности логического узла ЛО", group: "status", minValue: null, maxValue: null, step: null, units: "null", defaultValue: null, eventRegistration: 0</v>
      </c>
    </row>
    <row r="14" spans="1:16379" s="67" customFormat="1" ht="15.75" x14ac:dyDescent="0.25">
      <c r="A14" s="52"/>
      <c r="B14" s="104" t="s">
        <v>180</v>
      </c>
      <c r="C14" s="54"/>
      <c r="D14" s="99" t="s">
        <v>162</v>
      </c>
      <c r="E14" s="56" t="s">
        <v>163</v>
      </c>
      <c r="F14" s="56" t="s">
        <v>87</v>
      </c>
      <c r="G14" s="56" t="s">
        <v>87</v>
      </c>
      <c r="H14" s="54"/>
      <c r="I14" s="56">
        <f t="shared" si="6"/>
        <v>9</v>
      </c>
      <c r="J14" s="56" t="str">
        <f t="shared" si="7"/>
        <v>Поведение</v>
      </c>
      <c r="K14" s="58" t="s">
        <v>141</v>
      </c>
      <c r="L14" s="59" t="s">
        <v>57</v>
      </c>
      <c r="M14" s="61" t="s">
        <v>51</v>
      </c>
      <c r="N14" s="61" t="s">
        <v>52</v>
      </c>
      <c r="O14" s="61"/>
      <c r="P14" s="54"/>
      <c r="Q14" s="54"/>
      <c r="R14" s="61" t="s">
        <v>53</v>
      </c>
      <c r="S14" s="61" t="s">
        <v>53</v>
      </c>
      <c r="T14" s="61" t="s">
        <v>53</v>
      </c>
      <c r="U14" s="61" t="s">
        <v>53</v>
      </c>
      <c r="V14" s="54"/>
      <c r="W14" s="54"/>
      <c r="X14" s="61" t="s">
        <v>53</v>
      </c>
      <c r="Y14" s="61">
        <v>0</v>
      </c>
      <c r="Z14" s="54"/>
      <c r="AA14" s="62">
        <v>0</v>
      </c>
      <c r="AB14" s="62"/>
      <c r="AC14" s="62"/>
      <c r="AD14" s="62"/>
      <c r="AE14" s="62"/>
      <c r="AF14" s="62">
        <v>0</v>
      </c>
      <c r="AG14" s="62">
        <v>0</v>
      </c>
      <c r="AH14" s="62">
        <v>0</v>
      </c>
      <c r="AI14" s="63" t="s">
        <v>118</v>
      </c>
      <c r="AJ14" s="64" t="s">
        <v>146</v>
      </c>
      <c r="AK14" s="64" t="s">
        <v>82</v>
      </c>
      <c r="AL14" s="64" t="s">
        <v>64</v>
      </c>
      <c r="AM14" s="64" t="s">
        <v>65</v>
      </c>
      <c r="AN14" s="64" t="s">
        <v>66</v>
      </c>
      <c r="AO14" s="64" t="s">
        <v>67</v>
      </c>
      <c r="AP14" s="64" t="str">
        <f t="shared" ref="AP14:AP15" si="11">CONCATENATE(AJ14, ".", AL14)</f>
        <v>LVCBRECRBRE1.Beh.stVal</v>
      </c>
      <c r="AQ14" s="64" t="s">
        <v>63</v>
      </c>
      <c r="AR14" s="54">
        <v>0</v>
      </c>
      <c r="AS14" s="54">
        <v>0</v>
      </c>
      <c r="AT14" s="54">
        <v>0</v>
      </c>
      <c r="AU14" s="54">
        <v>0</v>
      </c>
      <c r="AV14" s="54">
        <f t="shared" ref="AV14:AV15" si="12">BIN2DEC(CONCATENATE(0,0,0,0,AR14,AS14,AT14,AU14))</f>
        <v>0</v>
      </c>
      <c r="AW14" s="54">
        <v>0</v>
      </c>
      <c r="AX14" s="54">
        <v>0</v>
      </c>
      <c r="AY14" s="65"/>
      <c r="AZ14" s="54"/>
      <c r="BA14" s="54"/>
      <c r="BB14" s="54"/>
      <c r="BC14" s="54"/>
      <c r="BD14" s="54"/>
      <c r="BE14" s="54"/>
      <c r="BF14" s="54"/>
      <c r="BG14" s="80" t="str">
        <f t="shared" si="8"/>
        <v>description: "Поведение", note: "Индикация поведения логического узла ЗАПВ", group: "status", minValue: null, maxValue: null, step: null, units: "null", defaultValue: null, eventRegistration: 0</v>
      </c>
    </row>
    <row r="15" spans="1:16379" s="67" customFormat="1" ht="15.75" x14ac:dyDescent="0.25">
      <c r="A15" s="52"/>
      <c r="B15" s="104" t="s">
        <v>180</v>
      </c>
      <c r="C15" s="54"/>
      <c r="D15" s="99" t="s">
        <v>162</v>
      </c>
      <c r="E15" s="56" t="s">
        <v>164</v>
      </c>
      <c r="F15" s="56" t="s">
        <v>88</v>
      </c>
      <c r="G15" s="56" t="s">
        <v>88</v>
      </c>
      <c r="H15" s="54"/>
      <c r="I15" s="56">
        <f t="shared" si="6"/>
        <v>11</v>
      </c>
      <c r="J15" s="56" t="str">
        <f t="shared" si="7"/>
        <v>Исправность</v>
      </c>
      <c r="K15" s="58" t="s">
        <v>142</v>
      </c>
      <c r="L15" s="59" t="s">
        <v>57</v>
      </c>
      <c r="M15" s="61" t="s">
        <v>51</v>
      </c>
      <c r="N15" s="61" t="s">
        <v>52</v>
      </c>
      <c r="O15" s="61"/>
      <c r="P15" s="81"/>
      <c r="Q15" s="81"/>
      <c r="R15" s="61" t="s">
        <v>53</v>
      </c>
      <c r="S15" s="61" t="s">
        <v>53</v>
      </c>
      <c r="T15" s="61" t="s">
        <v>53</v>
      </c>
      <c r="U15" s="61" t="s">
        <v>53</v>
      </c>
      <c r="V15" s="54"/>
      <c r="W15" s="54"/>
      <c r="X15" s="61" t="s">
        <v>53</v>
      </c>
      <c r="Y15" s="61">
        <v>0</v>
      </c>
      <c r="Z15" s="54"/>
      <c r="AA15" s="62">
        <v>0</v>
      </c>
      <c r="AB15" s="62"/>
      <c r="AC15" s="62"/>
      <c r="AD15" s="62"/>
      <c r="AE15" s="62"/>
      <c r="AF15" s="62">
        <v>0</v>
      </c>
      <c r="AG15" s="62">
        <v>0</v>
      </c>
      <c r="AH15" s="62">
        <v>0</v>
      </c>
      <c r="AI15" s="63" t="s">
        <v>118</v>
      </c>
      <c r="AJ15" s="64" t="s">
        <v>147</v>
      </c>
      <c r="AK15" s="64" t="s">
        <v>82</v>
      </c>
      <c r="AL15" s="64" t="s">
        <v>64</v>
      </c>
      <c r="AM15" s="64" t="s">
        <v>65</v>
      </c>
      <c r="AN15" s="64" t="s">
        <v>86</v>
      </c>
      <c r="AO15" s="64" t="s">
        <v>67</v>
      </c>
      <c r="AP15" s="64" t="str">
        <f t="shared" si="11"/>
        <v>LVCBRECRBRE1.Health.stVal</v>
      </c>
      <c r="AQ15" s="64" t="s">
        <v>63</v>
      </c>
      <c r="AR15" s="54">
        <v>0</v>
      </c>
      <c r="AS15" s="54">
        <v>0</v>
      </c>
      <c r="AT15" s="54">
        <v>0</v>
      </c>
      <c r="AU15" s="54">
        <v>0</v>
      </c>
      <c r="AV15" s="54">
        <f t="shared" si="12"/>
        <v>0</v>
      </c>
      <c r="AW15" s="54">
        <v>0</v>
      </c>
      <c r="AX15" s="54">
        <v>0</v>
      </c>
      <c r="AY15" s="65"/>
      <c r="AZ15" s="54"/>
      <c r="BA15" s="54"/>
      <c r="BB15" s="54"/>
      <c r="BC15" s="54"/>
      <c r="BD15" s="54"/>
      <c r="BE15" s="54"/>
      <c r="BF15" s="54"/>
      <c r="BG15" s="80" t="str">
        <f t="shared" si="8"/>
        <v>description: "Исправность", note: "Индикация исправности логического узла ЗАПВ",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8"/>
      <c r="BC215" s="4"/>
      <c r="BD215" s="1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8"/>
      <c r="BC216" s="4"/>
      <c r="BD216" s="1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8"/>
      <c r="BC217" s="4"/>
      <c r="BD217" s="1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18"/>
      <c r="BC218" s="4"/>
      <c r="BD218" s="18"/>
      <c r="BE218" s="4"/>
      <c r="BF218" s="4"/>
      <c r="BG218" s="1"/>
      <c r="BH21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4"/>
  <sheetViews>
    <sheetView tabSelected="1" zoomScale="80" zoomScaleNormal="80" workbookViewId="0">
      <selection activeCell="H11" sqref="H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2" style="2" customWidth="1" outlineLevel="1"/>
    <col min="7" max="7" width="19.5703125" style="2" bestFit="1" customWidth="1" outlineLevel="1"/>
    <col min="8" max="8" width="19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9.140625" style="2" bestFit="1" customWidth="1"/>
    <col min="13" max="13" width="9.42578125" style="2" customWidth="1"/>
    <col min="14" max="14" width="12.85546875" style="2" customWidth="1" outlineLevel="1"/>
    <col min="15" max="15" width="14.5703125" style="2" customWidth="1" outlineLevel="1"/>
    <col min="16" max="16" width="8.85546875" style="2" bestFit="1" customWidth="1" outlineLevel="1"/>
    <col min="17" max="17" width="19" style="2" customWidth="1" outlineLevel="1"/>
    <col min="18" max="18" width="26.85546875" style="2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8" hidden="1" customWidth="1" outlineLevel="1"/>
    <col min="56" max="56" width="13.28515625" style="4" hidden="1" customWidth="1" outlineLevel="1"/>
    <col min="57" max="57" width="13" style="1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SUM(AB5:AB41)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82"/>
      <c r="BA1" s="106" t="s">
        <v>0</v>
      </c>
      <c r="BB1" s="107"/>
      <c r="BC1" s="107"/>
      <c r="BD1" s="107"/>
      <c r="BE1" s="107"/>
      <c r="BF1" s="107"/>
      <c r="BG1" s="107"/>
    </row>
    <row r="2" spans="1:16380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108" t="s">
        <v>186</v>
      </c>
      <c r="I2" s="9" t="s">
        <v>7</v>
      </c>
      <c r="J2" s="9" t="s">
        <v>8</v>
      </c>
      <c r="K2" s="9" t="s">
        <v>104</v>
      </c>
      <c r="L2" s="13" t="s">
        <v>9</v>
      </c>
      <c r="M2" s="13" t="s">
        <v>10</v>
      </c>
      <c r="N2" s="13" t="s">
        <v>11</v>
      </c>
      <c r="O2" s="13" t="s">
        <v>12</v>
      </c>
      <c r="P2" s="13" t="s">
        <v>102</v>
      </c>
      <c r="Q2" s="13" t="s">
        <v>13</v>
      </c>
      <c r="R2" s="13" t="s">
        <v>14</v>
      </c>
      <c r="S2" s="13" t="s">
        <v>15</v>
      </c>
      <c r="T2" s="13" t="s">
        <v>16</v>
      </c>
      <c r="U2" s="13" t="s">
        <v>17</v>
      </c>
      <c r="V2" s="13" t="s">
        <v>74</v>
      </c>
      <c r="W2" s="13" t="s">
        <v>18</v>
      </c>
      <c r="X2" s="13" t="s">
        <v>19</v>
      </c>
      <c r="Y2" s="14" t="s">
        <v>20</v>
      </c>
      <c r="Z2" s="14" t="s">
        <v>21</v>
      </c>
      <c r="AA2" s="13" t="s">
        <v>22</v>
      </c>
      <c r="AB2" s="14" t="s">
        <v>23</v>
      </c>
      <c r="AC2" s="14" t="s">
        <v>98</v>
      </c>
      <c r="AD2" s="14" t="s">
        <v>99</v>
      </c>
      <c r="AE2" s="14" t="s">
        <v>100</v>
      </c>
      <c r="AF2" s="14" t="s">
        <v>101</v>
      </c>
      <c r="AG2" s="14" t="s">
        <v>24</v>
      </c>
      <c r="AH2" s="14" t="s">
        <v>25</v>
      </c>
      <c r="AI2" s="13" t="s">
        <v>26</v>
      </c>
      <c r="AJ2" s="24" t="s">
        <v>97</v>
      </c>
      <c r="AK2" s="9" t="s">
        <v>27</v>
      </c>
      <c r="AL2" s="9" t="s">
        <v>28</v>
      </c>
      <c r="AM2" s="9" t="s">
        <v>29</v>
      </c>
      <c r="AN2" s="9" t="s">
        <v>30</v>
      </c>
      <c r="AO2" s="9" t="s">
        <v>31</v>
      </c>
      <c r="AP2" s="9" t="s">
        <v>32</v>
      </c>
      <c r="AQ2" s="9" t="s">
        <v>33</v>
      </c>
      <c r="AR2" s="9" t="s">
        <v>34</v>
      </c>
      <c r="AS2" s="13" t="s">
        <v>35</v>
      </c>
      <c r="AT2" s="13" t="s">
        <v>36</v>
      </c>
      <c r="AU2" s="13" t="s">
        <v>37</v>
      </c>
      <c r="AV2" s="13" t="s">
        <v>38</v>
      </c>
      <c r="AW2" s="13" t="s">
        <v>39</v>
      </c>
      <c r="AX2" s="13" t="s">
        <v>40</v>
      </c>
      <c r="AY2" s="13" t="s">
        <v>41</v>
      </c>
      <c r="AZ2" s="14"/>
      <c r="BA2" s="13" t="s">
        <v>42</v>
      </c>
      <c r="BB2" s="13" t="s">
        <v>43</v>
      </c>
      <c r="BC2" s="15" t="s">
        <v>44</v>
      </c>
      <c r="BD2" s="13" t="s">
        <v>45</v>
      </c>
      <c r="BE2" s="15" t="s">
        <v>46</v>
      </c>
      <c r="BF2" s="13" t="s">
        <v>47</v>
      </c>
      <c r="BG2" s="13" t="s">
        <v>48</v>
      </c>
      <c r="BH2" s="14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93" customFormat="1" ht="15.75" x14ac:dyDescent="0.25">
      <c r="A3" s="86"/>
      <c r="B3" s="86" t="s">
        <v>89</v>
      </c>
      <c r="C3" s="90"/>
      <c r="D3" s="97" t="s">
        <v>165</v>
      </c>
      <c r="E3" s="83" t="s">
        <v>120</v>
      </c>
      <c r="F3" s="83" t="s">
        <v>111</v>
      </c>
      <c r="G3" s="83" t="s">
        <v>115</v>
      </c>
      <c r="H3" s="109" t="s">
        <v>115</v>
      </c>
      <c r="I3" s="83" t="s">
        <v>105</v>
      </c>
      <c r="J3" s="83">
        <f>LEN(F3)</f>
        <v>12</v>
      </c>
      <c r="K3" s="83" t="str">
        <f>IF(LEN(F3)&lt;=$K$1,F3,"")</f>
        <v>Ввод_функции</v>
      </c>
      <c r="L3" s="86" t="s">
        <v>158</v>
      </c>
      <c r="M3" s="89" t="s">
        <v>54</v>
      </c>
      <c r="N3" s="90" t="s">
        <v>52</v>
      </c>
      <c r="O3" s="90" t="s">
        <v>52</v>
      </c>
      <c r="P3" s="90"/>
      <c r="Q3" s="91">
        <v>0</v>
      </c>
      <c r="R3" s="91"/>
      <c r="S3" s="90" t="s">
        <v>53</v>
      </c>
      <c r="T3" s="90">
        <v>0</v>
      </c>
      <c r="U3" s="90">
        <v>1</v>
      </c>
      <c r="V3" s="90">
        <v>1</v>
      </c>
      <c r="W3" s="90"/>
      <c r="X3" s="90"/>
      <c r="Y3" s="90">
        <v>0</v>
      </c>
      <c r="Z3" s="90">
        <v>0</v>
      </c>
      <c r="AA3" s="88"/>
      <c r="AB3" s="85">
        <v>0</v>
      </c>
      <c r="AC3" s="85"/>
      <c r="AD3" s="85"/>
      <c r="AE3" s="85"/>
      <c r="AF3" s="85"/>
      <c r="AG3" s="85">
        <v>0</v>
      </c>
      <c r="AH3" s="85">
        <v>0</v>
      </c>
      <c r="AI3" s="85">
        <v>0</v>
      </c>
      <c r="AJ3" s="85"/>
      <c r="AK3" s="87"/>
      <c r="AL3" s="87"/>
      <c r="AM3" s="87"/>
      <c r="AN3" s="87"/>
      <c r="AO3" s="87"/>
      <c r="AP3" s="87"/>
      <c r="AQ3" s="87"/>
      <c r="AR3" s="87"/>
      <c r="AS3" s="87">
        <v>0</v>
      </c>
      <c r="AT3" s="87">
        <v>0</v>
      </c>
      <c r="AU3" s="87">
        <v>0</v>
      </c>
      <c r="AV3" s="87">
        <v>0</v>
      </c>
      <c r="AW3" s="87">
        <f>BIN2DEC(CONCATENATE(0,0,0,0,AS3,AT3,AU3,AV3))</f>
        <v>0</v>
      </c>
      <c r="AX3" s="87" t="s">
        <v>106</v>
      </c>
      <c r="AY3" s="87"/>
      <c r="AZ3" s="91"/>
      <c r="BA3" s="87"/>
      <c r="BB3" s="87"/>
      <c r="BC3" s="87"/>
      <c r="BD3" s="87"/>
      <c r="BE3" s="87"/>
      <c r="BF3" s="87"/>
      <c r="BG3" s="87"/>
      <c r="BH3" s="84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93" customFormat="1" ht="15.75" x14ac:dyDescent="0.25">
      <c r="A4" s="86"/>
      <c r="B4" s="86" t="s">
        <v>89</v>
      </c>
      <c r="C4" s="90"/>
      <c r="D4" s="97" t="s">
        <v>165</v>
      </c>
      <c r="E4" s="83" t="s">
        <v>151</v>
      </c>
      <c r="F4" s="83" t="s">
        <v>152</v>
      </c>
      <c r="G4" s="83" t="s">
        <v>153</v>
      </c>
      <c r="H4" s="109" t="s">
        <v>153</v>
      </c>
      <c r="I4" s="83"/>
      <c r="J4" s="83">
        <v>3</v>
      </c>
      <c r="K4" s="83" t="str">
        <f>IF(LEN(F4)&lt;=$K$1,F4,"")</f>
        <v>Тимп</v>
      </c>
      <c r="L4" s="86" t="s">
        <v>159</v>
      </c>
      <c r="M4" s="89" t="s">
        <v>154</v>
      </c>
      <c r="N4" s="90" t="s">
        <v>52</v>
      </c>
      <c r="O4" s="90" t="s">
        <v>52</v>
      </c>
      <c r="P4" s="90"/>
      <c r="Q4" s="91">
        <v>2</v>
      </c>
      <c r="R4" s="91" t="s">
        <v>155</v>
      </c>
      <c r="S4" s="90" t="s">
        <v>156</v>
      </c>
      <c r="T4" s="90">
        <v>50</v>
      </c>
      <c r="U4" s="90">
        <v>60000</v>
      </c>
      <c r="V4" s="90">
        <v>10</v>
      </c>
      <c r="W4" s="90"/>
      <c r="X4" s="90"/>
      <c r="Y4" s="90">
        <v>500</v>
      </c>
      <c r="Z4" s="90">
        <v>0</v>
      </c>
      <c r="AA4" s="88"/>
      <c r="AB4" s="85">
        <v>0</v>
      </c>
      <c r="AC4" s="85"/>
      <c r="AD4" s="85"/>
      <c r="AE4" s="85"/>
      <c r="AF4" s="85"/>
      <c r="AG4" s="85">
        <v>0</v>
      </c>
      <c r="AH4" s="85">
        <v>0</v>
      </c>
      <c r="AI4" s="85">
        <v>0</v>
      </c>
      <c r="AJ4" s="92"/>
      <c r="AK4" s="87"/>
      <c r="AL4" s="87"/>
      <c r="AM4" s="87"/>
      <c r="AN4" s="87"/>
      <c r="AO4" s="87"/>
      <c r="AP4" s="87"/>
      <c r="AQ4" s="82"/>
      <c r="AR4" s="87"/>
      <c r="AS4" s="87">
        <v>0</v>
      </c>
      <c r="AT4" s="87">
        <v>0</v>
      </c>
      <c r="AU4" s="87">
        <v>0</v>
      </c>
      <c r="AV4" s="87">
        <v>0</v>
      </c>
      <c r="AW4" s="87">
        <f>BIN2DEC(CONCATENATE(0,0,0,0,AS4,AT4,AU4,AV4))</f>
        <v>0</v>
      </c>
      <c r="AX4" s="87"/>
      <c r="AY4" s="87"/>
      <c r="AZ4" s="91"/>
      <c r="BA4" s="87"/>
      <c r="BB4" s="87"/>
      <c r="BC4" s="87"/>
      <c r="BD4" s="87"/>
      <c r="BE4" s="87"/>
      <c r="BF4" s="87"/>
      <c r="BG4" s="87"/>
      <c r="BH4" s="84" t="s">
        <v>157</v>
      </c>
    </row>
    <row r="5" spans="1:16380" s="96" customFormat="1" ht="15.75" x14ac:dyDescent="0.25">
      <c r="A5" s="69"/>
      <c r="B5" s="69" t="s">
        <v>89</v>
      </c>
      <c r="C5" s="75"/>
      <c r="D5" s="98" t="s">
        <v>162</v>
      </c>
      <c r="E5" s="41" t="s">
        <v>120</v>
      </c>
      <c r="F5" s="41" t="s">
        <v>111</v>
      </c>
      <c r="G5" s="41" t="s">
        <v>115</v>
      </c>
      <c r="H5" s="109" t="s">
        <v>115</v>
      </c>
      <c r="I5" s="41" t="s">
        <v>105</v>
      </c>
      <c r="J5" s="41">
        <f>LEN(F5)</f>
        <v>12</v>
      </c>
      <c r="K5" s="41" t="str">
        <f>IF(LEN(F5)&lt;=$K$1,F5,"")</f>
        <v>Ввод_функции</v>
      </c>
      <c r="L5" s="69" t="s">
        <v>160</v>
      </c>
      <c r="M5" s="74" t="s">
        <v>54</v>
      </c>
      <c r="N5" s="75" t="s">
        <v>52</v>
      </c>
      <c r="O5" s="75" t="s">
        <v>52</v>
      </c>
      <c r="P5" s="75"/>
      <c r="Q5" s="77">
        <v>0</v>
      </c>
      <c r="R5" s="77"/>
      <c r="S5" s="75" t="s">
        <v>53</v>
      </c>
      <c r="T5" s="75">
        <v>0</v>
      </c>
      <c r="U5" s="75">
        <v>1</v>
      </c>
      <c r="V5" s="75">
        <v>1</v>
      </c>
      <c r="W5" s="75"/>
      <c r="X5" s="75"/>
      <c r="Y5" s="75">
        <v>0</v>
      </c>
      <c r="Z5" s="75">
        <v>0</v>
      </c>
      <c r="AA5" s="73"/>
      <c r="AB5" s="45">
        <v>0</v>
      </c>
      <c r="AC5" s="45"/>
      <c r="AD5" s="45"/>
      <c r="AE5" s="45"/>
      <c r="AF5" s="45"/>
      <c r="AG5" s="45">
        <v>0</v>
      </c>
      <c r="AH5" s="45">
        <v>0</v>
      </c>
      <c r="AI5" s="45">
        <v>0</v>
      </c>
      <c r="AJ5" s="45"/>
      <c r="AK5" s="70"/>
      <c r="AL5" s="70"/>
      <c r="AM5" s="70"/>
      <c r="AN5" s="70"/>
      <c r="AO5" s="70"/>
      <c r="AP5" s="70"/>
      <c r="AQ5" s="70"/>
      <c r="AR5" s="70"/>
      <c r="AS5" s="70">
        <v>0</v>
      </c>
      <c r="AT5" s="70">
        <v>0</v>
      </c>
      <c r="AU5" s="70">
        <v>0</v>
      </c>
      <c r="AV5" s="70">
        <v>0</v>
      </c>
      <c r="AW5" s="70">
        <f>BIN2DEC(CONCATENATE(0,0,0,0,AS5,AT5,AU5,AV5))</f>
        <v>0</v>
      </c>
      <c r="AX5" s="70" t="s">
        <v>106</v>
      </c>
      <c r="AY5" s="70"/>
      <c r="AZ5" s="77"/>
      <c r="BA5" s="70"/>
      <c r="BB5" s="70"/>
      <c r="BC5" s="70"/>
      <c r="BD5" s="70"/>
      <c r="BE5" s="70"/>
      <c r="BF5" s="70"/>
      <c r="BG5" s="70"/>
      <c r="BH5" s="7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"Ввод_функции", note: "Ввод функции в работу", group: "setting", minValue: 0, maxValue: 1, step: 1, units: "null", defaultValue: 0, eventRegistration: 0</v>
      </c>
    </row>
    <row r="6" spans="1:16380" s="2" customFormat="1" ht="15.75" x14ac:dyDescent="0.25">
      <c r="A6" s="1"/>
      <c r="B6" s="1"/>
      <c r="C6" s="1"/>
      <c r="D6" s="1"/>
      <c r="S6" s="3"/>
      <c r="T6" s="4"/>
      <c r="U6" s="4"/>
      <c r="V6" s="4"/>
      <c r="W6" s="4"/>
      <c r="X6" s="4"/>
      <c r="Y6" s="4"/>
      <c r="Z6" s="4"/>
      <c r="AA6" s="1"/>
      <c r="AB6" s="4"/>
      <c r="AC6" s="4"/>
      <c r="AD6" s="4"/>
      <c r="AE6" s="4"/>
      <c r="AF6" s="4"/>
      <c r="AG6" s="4"/>
      <c r="AH6" s="4"/>
      <c r="AI6" s="1"/>
      <c r="AJ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18"/>
      <c r="BD6" s="4"/>
      <c r="BE6" s="18"/>
      <c r="BF6" s="4"/>
      <c r="BG6" s="4"/>
      <c r="BH6" s="1"/>
      <c r="BI6" s="1"/>
    </row>
    <row r="7" spans="1:16380" s="2" customFormat="1" ht="15.75" x14ac:dyDescent="0.25">
      <c r="A7" s="1"/>
      <c r="B7" s="1"/>
      <c r="C7" s="1"/>
      <c r="D7" s="1"/>
      <c r="S7" s="3"/>
      <c r="T7" s="4"/>
      <c r="U7" s="4"/>
      <c r="V7" s="4"/>
      <c r="W7" s="4"/>
      <c r="X7" s="4"/>
      <c r="Y7" s="4"/>
      <c r="Z7" s="4"/>
      <c r="AA7" s="1"/>
      <c r="AB7" s="4"/>
      <c r="AC7" s="4"/>
      <c r="AD7" s="4"/>
      <c r="AE7" s="4"/>
      <c r="AF7" s="4"/>
      <c r="AG7" s="4"/>
      <c r="AH7" s="4"/>
      <c r="AI7" s="1"/>
      <c r="AJ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18"/>
      <c r="BD7" s="4"/>
      <c r="BE7" s="18"/>
      <c r="BF7" s="4"/>
      <c r="BG7" s="4"/>
      <c r="BH7" s="1"/>
      <c r="BI7" s="1"/>
    </row>
    <row r="8" spans="1:16380" s="2" customFormat="1" ht="15.75" x14ac:dyDescent="0.25">
      <c r="A8" s="1"/>
      <c r="B8" s="1"/>
      <c r="C8" s="1"/>
      <c r="D8" s="1"/>
      <c r="S8" s="3"/>
      <c r="T8" s="4"/>
      <c r="U8" s="4"/>
      <c r="V8" s="4"/>
      <c r="W8" s="4"/>
      <c r="X8" s="4"/>
      <c r="Y8" s="4"/>
      <c r="Z8" s="4"/>
      <c r="AA8" s="1"/>
      <c r="AB8" s="4"/>
      <c r="AC8" s="4"/>
      <c r="AD8" s="4"/>
      <c r="AE8" s="4"/>
      <c r="AF8" s="4"/>
      <c r="AG8" s="4"/>
      <c r="AH8" s="4"/>
      <c r="AI8" s="1"/>
      <c r="AJ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18"/>
      <c r="BD8" s="4"/>
      <c r="BE8" s="18"/>
      <c r="BF8" s="4"/>
      <c r="BG8" s="4"/>
      <c r="BH8" s="1"/>
      <c r="BI8" s="1"/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18"/>
      <c r="BD9" s="4"/>
      <c r="BE9" s="18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18"/>
      <c r="BD10" s="4"/>
      <c r="BE10" s="18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18"/>
      <c r="BD11" s="4"/>
      <c r="BE11" s="18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18"/>
      <c r="BD12" s="4"/>
      <c r="BE12" s="18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18"/>
      <c r="BD13" s="4"/>
      <c r="BE13" s="18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18"/>
      <c r="BD14" s="4"/>
      <c r="BE14" s="18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18"/>
      <c r="BD15" s="4"/>
      <c r="BE15" s="18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18"/>
      <c r="BD16" s="4"/>
      <c r="BE16" s="18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18"/>
      <c r="BD17" s="4"/>
      <c r="BE17" s="18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18"/>
      <c r="BD18" s="4"/>
      <c r="BE18" s="18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18"/>
      <c r="BD19" s="4"/>
      <c r="BE19" s="18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18"/>
      <c r="BD20" s="4"/>
      <c r="BE20" s="18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18"/>
      <c r="BD21" s="4"/>
      <c r="BE21" s="18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18"/>
      <c r="BD22" s="4"/>
      <c r="BE22" s="18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18"/>
      <c r="BD23" s="4"/>
      <c r="BE23" s="18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18"/>
      <c r="BD24" s="4"/>
      <c r="BE24" s="18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8"/>
      <c r="BD25" s="4"/>
      <c r="BE25" s="1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8"/>
      <c r="BD26" s="4"/>
      <c r="BE26" s="1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8"/>
      <c r="BD27" s="4"/>
      <c r="BE27" s="1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8"/>
      <c r="BD28" s="4"/>
      <c r="BE28" s="1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8"/>
      <c r="BD29" s="4"/>
      <c r="BE29" s="1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8"/>
      <c r="BD30" s="4"/>
      <c r="BE30" s="1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8"/>
      <c r="BD31" s="4"/>
      <c r="BE31" s="1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8"/>
      <c r="BD32" s="4"/>
      <c r="BE32" s="1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8"/>
      <c r="BD33" s="4"/>
      <c r="BE33" s="1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8"/>
      <c r="BD34" s="4"/>
      <c r="BE34" s="1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8"/>
      <c r="BD35" s="4"/>
      <c r="BE35" s="1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8"/>
      <c r="BD36" s="4"/>
      <c r="BE36" s="1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8"/>
      <c r="BD37" s="4"/>
      <c r="BE37" s="1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8"/>
      <c r="BD38" s="4"/>
      <c r="BE38" s="1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8"/>
      <c r="BD39" s="4"/>
      <c r="BE39" s="1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8"/>
      <c r="BD40" s="4"/>
      <c r="BE40" s="1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8"/>
      <c r="BD41" s="4"/>
      <c r="BE41" s="1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8"/>
      <c r="BD42" s="4"/>
      <c r="BE42" s="1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8"/>
      <c r="BD43" s="4"/>
      <c r="BE43" s="1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8"/>
      <c r="BD44" s="4"/>
      <c r="BE44" s="1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8"/>
      <c r="BD45" s="4"/>
      <c r="BE45" s="1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8"/>
      <c r="BD46" s="4"/>
      <c r="BE46" s="1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8"/>
      <c r="BD47" s="4"/>
      <c r="BE47" s="1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8"/>
      <c r="BD48" s="4"/>
      <c r="BE48" s="1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8"/>
      <c r="BD49" s="4"/>
      <c r="BE49" s="1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8"/>
      <c r="BD50" s="4"/>
      <c r="BE50" s="1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8"/>
      <c r="BD51" s="4"/>
      <c r="BE51" s="1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8"/>
      <c r="BD52" s="4"/>
      <c r="BE52" s="1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8"/>
      <c r="BD53" s="4"/>
      <c r="BE53" s="1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8"/>
      <c r="BD54" s="4"/>
      <c r="BE54" s="1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8"/>
      <c r="BD55" s="4"/>
      <c r="BE55" s="1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8"/>
      <c r="BD56" s="4"/>
      <c r="BE56" s="1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8"/>
      <c r="BD57" s="4"/>
      <c r="BE57" s="1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8"/>
      <c r="BD58" s="4"/>
      <c r="BE58" s="1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8"/>
      <c r="BD59" s="4"/>
      <c r="BE59" s="1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8"/>
      <c r="BD60" s="4"/>
      <c r="BE60" s="1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8"/>
      <c r="BD61" s="4"/>
      <c r="BE61" s="1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8"/>
      <c r="BD62" s="4"/>
      <c r="BE62" s="1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8"/>
      <c r="BD63" s="4"/>
      <c r="BE63" s="1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8"/>
      <c r="BD64" s="4"/>
      <c r="BE64" s="1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8"/>
      <c r="BD65" s="4"/>
      <c r="BE65" s="1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8"/>
      <c r="BD66" s="4"/>
      <c r="BE66" s="1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8"/>
      <c r="BD67" s="4"/>
      <c r="BE67" s="1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8"/>
      <c r="BD68" s="4"/>
      <c r="BE68" s="1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8"/>
      <c r="BD69" s="4"/>
      <c r="BE69" s="1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8"/>
      <c r="BD70" s="4"/>
      <c r="BE70" s="1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8"/>
      <c r="BD71" s="4"/>
      <c r="BE71" s="1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8"/>
      <c r="BD72" s="4"/>
      <c r="BE72" s="1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8"/>
      <c r="BD73" s="4"/>
      <c r="BE73" s="1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8"/>
      <c r="BD74" s="4"/>
      <c r="BE74" s="1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8"/>
      <c r="BD75" s="4"/>
      <c r="BE75" s="1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8"/>
      <c r="BD76" s="4"/>
      <c r="BE76" s="1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8"/>
      <c r="BD77" s="4"/>
      <c r="BE77" s="1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8"/>
      <c r="BD78" s="4"/>
      <c r="BE78" s="1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8"/>
      <c r="BD79" s="4"/>
      <c r="BE79" s="1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8"/>
      <c r="BD80" s="4"/>
      <c r="BE80" s="1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8"/>
      <c r="BD81" s="4"/>
      <c r="BE81" s="1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8"/>
      <c r="BD82" s="4"/>
      <c r="BE82" s="1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8"/>
      <c r="BD83" s="4"/>
      <c r="BE83" s="1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8"/>
      <c r="BD84" s="4"/>
      <c r="BE84" s="1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8"/>
      <c r="BD85" s="4"/>
      <c r="BE85" s="1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8"/>
      <c r="BD86" s="4"/>
      <c r="BE86" s="1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8"/>
      <c r="BD87" s="4"/>
      <c r="BE87" s="1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8"/>
      <c r="BD88" s="4"/>
      <c r="BE88" s="1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8"/>
      <c r="BD89" s="4"/>
      <c r="BE89" s="1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8"/>
      <c r="BD90" s="4"/>
      <c r="BE90" s="1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8"/>
      <c r="BD91" s="4"/>
      <c r="BE91" s="1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8"/>
      <c r="BD92" s="4"/>
      <c r="BE92" s="1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8"/>
      <c r="BD93" s="4"/>
      <c r="BE93" s="1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8"/>
      <c r="BD94" s="4"/>
      <c r="BE94" s="1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8"/>
      <c r="BD95" s="4"/>
      <c r="BE95" s="1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8"/>
      <c r="BD96" s="4"/>
      <c r="BE96" s="1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8"/>
      <c r="BD97" s="4"/>
      <c r="BE97" s="1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8"/>
      <c r="BD98" s="4"/>
      <c r="BE98" s="1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8"/>
      <c r="BD99" s="4"/>
      <c r="BE99" s="1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8"/>
      <c r="BD100" s="4"/>
      <c r="BE100" s="1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8"/>
      <c r="BD101" s="4"/>
      <c r="BE101" s="1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8"/>
      <c r="BD102" s="4"/>
      <c r="BE102" s="1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8"/>
      <c r="BD103" s="4"/>
      <c r="BE103" s="1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8"/>
      <c r="BD104" s="4"/>
      <c r="BE104" s="1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8"/>
      <c r="BD105" s="4"/>
      <c r="BE105" s="1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8"/>
      <c r="BD106" s="4"/>
      <c r="BE106" s="1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8"/>
      <c r="BD107" s="4"/>
      <c r="BE107" s="1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8"/>
      <c r="BD108" s="4"/>
      <c r="BE108" s="1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8"/>
      <c r="BD109" s="4"/>
      <c r="BE109" s="1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8"/>
      <c r="BD110" s="4"/>
      <c r="BE110" s="1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8"/>
      <c r="BD111" s="4"/>
      <c r="BE111" s="1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8"/>
      <c r="BD112" s="4"/>
      <c r="BE112" s="1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8"/>
      <c r="BD113" s="4"/>
      <c r="BE113" s="1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8"/>
      <c r="BD114" s="4"/>
      <c r="BE114" s="1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8"/>
      <c r="BD115" s="4"/>
      <c r="BE115" s="1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8"/>
      <c r="BD116" s="4"/>
      <c r="BE116" s="1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8"/>
      <c r="BD117" s="4"/>
      <c r="BE117" s="1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8"/>
      <c r="BD118" s="4"/>
      <c r="BE118" s="1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8"/>
      <c r="BD119" s="4"/>
      <c r="BE119" s="1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8"/>
      <c r="BD120" s="4"/>
      <c r="BE120" s="1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8"/>
      <c r="BD121" s="4"/>
      <c r="BE121" s="1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8"/>
      <c r="BD122" s="4"/>
      <c r="BE122" s="1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8"/>
      <c r="BD123" s="4"/>
      <c r="BE123" s="1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8"/>
      <c r="BD124" s="4"/>
      <c r="BE124" s="1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8"/>
      <c r="BD125" s="4"/>
      <c r="BE125" s="1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8"/>
      <c r="BD126" s="4"/>
      <c r="BE126" s="1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8"/>
      <c r="BD127" s="4"/>
      <c r="BE127" s="1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8"/>
      <c r="BD128" s="4"/>
      <c r="BE128" s="1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8"/>
      <c r="BD129" s="4"/>
      <c r="BE129" s="1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8"/>
      <c r="BD130" s="4"/>
      <c r="BE130" s="1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8"/>
      <c r="BD131" s="4"/>
      <c r="BE131" s="1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8"/>
      <c r="BD132" s="4"/>
      <c r="BE132" s="1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8"/>
      <c r="BD133" s="4"/>
      <c r="BE133" s="1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8"/>
      <c r="BD134" s="4"/>
      <c r="BE134" s="1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8"/>
      <c r="BD135" s="4"/>
      <c r="BE135" s="1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8"/>
      <c r="BD136" s="4"/>
      <c r="BE136" s="1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8"/>
      <c r="BD137" s="4"/>
      <c r="BE137" s="1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8"/>
      <c r="BD138" s="4"/>
      <c r="BE138" s="1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8"/>
      <c r="BD139" s="4"/>
      <c r="BE139" s="1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8"/>
      <c r="BD140" s="4"/>
      <c r="BE140" s="1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8"/>
      <c r="BD141" s="4"/>
      <c r="BE141" s="1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8"/>
      <c r="BD142" s="4"/>
      <c r="BE142" s="1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8"/>
      <c r="BD143" s="4"/>
      <c r="BE143" s="1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8"/>
      <c r="BD144" s="4"/>
      <c r="BE144" s="1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18"/>
      <c r="BD145" s="4"/>
      <c r="BE145" s="1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1"/>
      <c r="AT146" s="1"/>
      <c r="AU146" s="1"/>
      <c r="AV146" s="1"/>
      <c r="AW146" s="1"/>
      <c r="AX146" s="1"/>
      <c r="AY146" s="1"/>
      <c r="AZ146" s="4"/>
      <c r="BA146" s="4"/>
      <c r="BB146" s="4"/>
      <c r="BC146" s="18"/>
      <c r="BD146" s="4"/>
      <c r="BE146" s="1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1"/>
      <c r="AS147" s="1"/>
      <c r="AT147" s="1"/>
      <c r="AU147" s="1"/>
      <c r="AV147" s="1"/>
      <c r="AW147" s="1"/>
      <c r="AX147" s="1"/>
      <c r="AY147" s="1"/>
      <c r="AZ147" s="4"/>
      <c r="BA147" s="4"/>
      <c r="BB147" s="4"/>
      <c r="BC147" s="18"/>
      <c r="BD147" s="4"/>
      <c r="BE147" s="1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1"/>
      <c r="AS148" s="1"/>
      <c r="AT148" s="1"/>
      <c r="AU148" s="1"/>
      <c r="AV148" s="1"/>
      <c r="AW148" s="1"/>
      <c r="AX148" s="1"/>
      <c r="AY148" s="1"/>
      <c r="AZ148" s="4"/>
      <c r="BA148" s="4"/>
      <c r="BB148" s="4"/>
      <c r="BC148" s="18"/>
      <c r="BD148" s="4"/>
      <c r="BE148" s="1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1"/>
      <c r="AS149" s="1"/>
      <c r="AT149" s="1"/>
      <c r="AU149" s="1"/>
      <c r="AV149" s="1"/>
      <c r="AW149" s="1"/>
      <c r="AX149" s="1"/>
      <c r="AY149" s="1"/>
      <c r="AZ149" s="4"/>
      <c r="BA149" s="4"/>
      <c r="BB149" s="4"/>
      <c r="BC149" s="18"/>
      <c r="BD149" s="4"/>
      <c r="BE149" s="1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1"/>
      <c r="AS150" s="1"/>
      <c r="AT150" s="1"/>
      <c r="AU150" s="1"/>
      <c r="AV150" s="1"/>
      <c r="AW150" s="1"/>
      <c r="AX150" s="1"/>
      <c r="AY150" s="1"/>
      <c r="AZ150" s="4"/>
      <c r="BA150" s="4"/>
      <c r="BB150" s="4"/>
      <c r="BC150" s="18"/>
      <c r="BD150" s="4"/>
      <c r="BE150" s="1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1"/>
      <c r="AS151" s="1"/>
      <c r="AT151" s="1"/>
      <c r="AU151" s="1"/>
      <c r="AV151" s="1"/>
      <c r="AW151" s="1"/>
      <c r="AX151" s="1"/>
      <c r="AY151" s="1"/>
      <c r="AZ151" s="4"/>
      <c r="BA151" s="4"/>
      <c r="BB151" s="4"/>
      <c r="BC151" s="18"/>
      <c r="BD151" s="4"/>
      <c r="BE151" s="1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1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18"/>
      <c r="BD152" s="4"/>
      <c r="BE152" s="1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18"/>
      <c r="BD153" s="4"/>
      <c r="BE153" s="1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18"/>
      <c r="BD154" s="4"/>
      <c r="BE154" s="1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18"/>
      <c r="BD155" s="4"/>
      <c r="BE155" s="1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18"/>
      <c r="BD156" s="4"/>
      <c r="BE156" s="1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18"/>
      <c r="BD157" s="4"/>
      <c r="BE157" s="1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18"/>
      <c r="BD158" s="4"/>
      <c r="BE158" s="1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18"/>
      <c r="BD159" s="4"/>
      <c r="BE159" s="1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18"/>
      <c r="BD160" s="4"/>
      <c r="BE160" s="1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18"/>
      <c r="BD161" s="4"/>
      <c r="BE161" s="1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18"/>
      <c r="BD162" s="4"/>
      <c r="BE162" s="1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18"/>
      <c r="BD163" s="4"/>
      <c r="BE163" s="1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18"/>
      <c r="BD164" s="4"/>
      <c r="BE164" s="1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18"/>
      <c r="BD165" s="4"/>
      <c r="BE165" s="1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18"/>
      <c r="BD166" s="4"/>
      <c r="BE166" s="1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18"/>
      <c r="BD167" s="4"/>
      <c r="BE167" s="1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18"/>
      <c r="BD168" s="4"/>
      <c r="BE168" s="1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18"/>
      <c r="BD169" s="4"/>
      <c r="BE169" s="1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18"/>
      <c r="BD170" s="4"/>
      <c r="BE170" s="1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18"/>
      <c r="BD171" s="4"/>
      <c r="BE171" s="1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18"/>
      <c r="BD172" s="4"/>
      <c r="BE172" s="1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18"/>
      <c r="BD173" s="4"/>
      <c r="BE173" s="1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18"/>
      <c r="BD174" s="4"/>
      <c r="BE174" s="1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18"/>
      <c r="BD175" s="4"/>
      <c r="BE175" s="1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18"/>
      <c r="BD176" s="4"/>
      <c r="BE176" s="1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18"/>
      <c r="BD177" s="4"/>
      <c r="BE177" s="1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18"/>
      <c r="BD178" s="4"/>
      <c r="BE178" s="1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18"/>
      <c r="BD179" s="4"/>
      <c r="BE179" s="1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8"/>
      <c r="BD180" s="4"/>
      <c r="BE180" s="1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8"/>
      <c r="BD181" s="4"/>
      <c r="BE181" s="1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8"/>
      <c r="BD182" s="4"/>
      <c r="BE182" s="1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8"/>
      <c r="BD183" s="4"/>
      <c r="BE183" s="1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18"/>
      <c r="BD184" s="4"/>
      <c r="BE184" s="18"/>
      <c r="BF184" s="4"/>
      <c r="BG184" s="4"/>
      <c r="BH184" s="1"/>
      <c r="BI184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2"/>
  <sheetViews>
    <sheetView workbookViewId="0">
      <selection activeCell="A8" sqref="A8:XFD12"/>
    </sheetView>
  </sheetViews>
  <sheetFormatPr defaultRowHeight="15.75" x14ac:dyDescent="0.25"/>
  <cols>
    <col min="1" max="1" width="22.42578125" style="100" customWidth="1"/>
    <col min="2" max="2" width="75.42578125" style="100" customWidth="1"/>
    <col min="3" max="16384" width="9.140625" style="100"/>
  </cols>
  <sheetData>
    <row r="2" spans="1:2" x14ac:dyDescent="0.25">
      <c r="A2" s="9" t="s">
        <v>90</v>
      </c>
      <c r="B2" s="9" t="s">
        <v>91</v>
      </c>
    </row>
    <row r="3" spans="1:2" x14ac:dyDescent="0.25">
      <c r="A3" s="20" t="s">
        <v>92</v>
      </c>
      <c r="B3" s="101" t="s">
        <v>168</v>
      </c>
    </row>
    <row r="4" spans="1:2" x14ac:dyDescent="0.25">
      <c r="A4" s="20" t="s">
        <v>93</v>
      </c>
      <c r="B4" s="22">
        <v>534</v>
      </c>
    </row>
    <row r="5" spans="1:2" x14ac:dyDescent="0.25">
      <c r="A5" s="20" t="s">
        <v>94</v>
      </c>
      <c r="B5" s="21" t="s">
        <v>52</v>
      </c>
    </row>
    <row r="6" spans="1:2" x14ac:dyDescent="0.25">
      <c r="A6" s="23" t="s">
        <v>95</v>
      </c>
      <c r="B6" s="21" t="s">
        <v>161</v>
      </c>
    </row>
    <row r="7" spans="1:2" x14ac:dyDescent="0.25">
      <c r="A7" s="23" t="s">
        <v>175</v>
      </c>
      <c r="B7" s="21">
        <v>1</v>
      </c>
    </row>
    <row r="8" spans="1:2" x14ac:dyDescent="0.25">
      <c r="A8" s="105" t="s">
        <v>181</v>
      </c>
      <c r="B8" t="s">
        <v>184</v>
      </c>
    </row>
    <row r="9" spans="1:2" x14ac:dyDescent="0.25">
      <c r="A9" s="105" t="s">
        <v>182</v>
      </c>
      <c r="B9" s="105"/>
    </row>
    <row r="10" spans="1:2" x14ac:dyDescent="0.25">
      <c r="A10" s="27" t="s">
        <v>165</v>
      </c>
      <c r="B10" t="s">
        <v>183</v>
      </c>
    </row>
    <row r="11" spans="1:2" x14ac:dyDescent="0.25">
      <c r="A11" s="98" t="s">
        <v>162</v>
      </c>
      <c r="B11" t="s">
        <v>185</v>
      </c>
    </row>
    <row r="12" spans="1:2" x14ac:dyDescent="0.25">
      <c r="A12" s="105" t="s">
        <v>182</v>
      </c>
      <c r="B12" s="10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2025-07-23T13:26:50Z</dcterms:modified>
</cp:coreProperties>
</file>