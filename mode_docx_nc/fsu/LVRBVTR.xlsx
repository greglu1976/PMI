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AV8" i="4"/>
  <c r="J8" i="4"/>
  <c r="I8" i="4"/>
  <c r="BG7" i="4"/>
  <c r="AV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<sst xmlns="http://schemas.openxmlformats.org/spreadsheetml/2006/main" count="606" uniqueCount="208">
  <si>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</si>
  <si>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</si>
  <si>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</si>
  <si>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</si>
  <si>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</si>
  <si>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</si>
  <si>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</si>
  <si>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</si>
  <si>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</si>
  <si>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</si>
  <si>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</si>
  <si>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</si>
  <si>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</si>
  <si>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</si>
  <si>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</si>
  <si>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</si>
  <si>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</si>
  <si>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</si>
  <si>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</si>
  <si>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</si>
  <si>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</si>
  <si>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</si>
  <si>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</si>
  <si>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</si>
  <si>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</si>
  <si>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</si>
  <si>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</si>
  <si>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</si>
  <si>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</si>
  <si>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</si>
  <si>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</si>
  <si>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</si>
  <si>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</si>
  <si>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</si>
  <si>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</si>
  <si>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</si>
  <si>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</si>
  <si>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</si>
  <si>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</si>
  <si>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</si>
  <si>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</si>
  <si>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</si>
  <si>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</si>
  <si>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</si>
  <si>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</si>
  <si>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</si>
  <si>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</si>
  <si>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</si>
  <si>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</si>
  <si>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</si>
  <si>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</si>
  <si>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</si>
  <si>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</si>
  <si>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</si>
  <si>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</si>
  <si>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</si>
  <si>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</si>
  <si>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</si>
  <si>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</si>
  <si>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</si>
  <si>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</si>
  <si>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</si>
  <si>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</si>
  <si>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</si>
  <si>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</si>
  <si>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</si>
  <si>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</si>
  <si>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</si>
  <si>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</si>
  <si>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</si>
  <si>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</si>
  <si>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</si>
  <si>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</si>
  <si>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</si>
  <si>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</si>
  <si>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</si>
  <si>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</si>
  <si>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</si>
  <si>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</si>
  <si>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</si>
  <si>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</si>
  <si>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</si>
  <si>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</si>
  <si>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</si>
  <si>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</si>
  <si>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</si>
  <si>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</si>
  <si>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</si>
  <si>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</si>
  <si>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</si>
  <si>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</si>
  <si>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</si>
  <si>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</si>
  <si>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</si>
  <si>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</si>
  <si>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</si>
  <si>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</si>
  <si>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</si>
  <si>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</si>
  <si>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</si>
  <si>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</si>
  <si>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</si>
  <si>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</si>
  <si>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</si>
  <si>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</si>
  <si>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</si>
  <si>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</si>
  <si>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</si>
  <si>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</si>
  <si>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</si>
  <si>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</si>
  <si>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</si>
  <si>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</si>
  <si>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</si>
  <si>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</si>
  <si>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</si>
  <si>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</si>
  <si>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</si>
  <si>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</si>
  <si>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</si>
  <si>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</si>
  <si>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</si>
  <si>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</si>
  <si>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</si>
  <si>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</si>
  <si>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</si>
  <si>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</si>
  <si>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</si>
  <si>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</si>
  <si>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</si>
  <si>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</si>
  <si>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</si>
  <si>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</si>
  <si>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</si>
  <si>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</si>
  <si>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</si>
  <si>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</si>
  <si>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</si>
  <si>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</si>
  <si>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</si>
  <si>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</si>
  <si>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</si>
  <si>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</si>
  <si>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</si>
  <si>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</si>
  <si>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</si>
  <si>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Неисправность цепей напряжения</t>
  </si>
  <si>
    <t>Uca (1гарм)</t>
  </si>
  <si>
    <t>Tср</t>
  </si>
  <si>
    <t>FbVersion</t>
  </si>
  <si>
    <t>SG</t>
  </si>
  <si>
    <t>Оперативный вывод функции КЦН НН</t>
  </si>
  <si>
    <t>ОВ КЦН НН</t>
  </si>
  <si>
    <t>LVRBVTR_operOutFunction</t>
  </si>
  <si>
    <t>КЦН НН</t>
  </si>
  <si>
    <t>Срабатывание внешнего БНН</t>
  </si>
  <si>
    <t>Сраб БНН внеш</t>
  </si>
  <si>
    <t>OutBlkV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</si>
  <si>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</si>
  <si>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</si>
  <si>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</si>
  <si>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</si>
  <si>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</si>
  <si>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</si>
  <si>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</si>
  <si>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</si>
  <si>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</si>
  <si>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</si>
  <si>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</si>
  <si>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</si>
  <si>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</si>
  <si>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</si>
  <si>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</si>
  <si>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</si>
  <si>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</si>
  <si>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</si>
  <si>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</si>
  <si>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</si>
  <si>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</si>
  <si>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</si>
  <si>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</si>
  <si>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</si>
  <si>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</si>
  <si>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</si>
  <si>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</si>
  <si>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</si>
  <si>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LVRBVTR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</si>
  <si>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</si>
  <si>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</si>
  <si>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</si>
  <si>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</si>
  <si>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</si>
  <si>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</si>
  <si>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0 - Внутренний, 1 - Внешний</t>
  </si>
  <si>
    <t>Internal_External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</si>
  <si>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</si>
  <si>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</si>
  <si>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</si>
  <si>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</si>
  <si>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</si>
  <si>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</si>
  <si>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</si>
  <si>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</si>
  <si>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Сигнализация неисправности цепей напряжения стороны НН</t>
  </si>
  <si>
    <t>Сигнализация неисправности цепей напряжения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</si>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</sst>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zoomScale="80" zoomScaleNormal="80" workbookViewId="0">
      <selection activeCell="AW3" sqref="AW3:AX12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65.28515625" style="57" bestFit="1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5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94.28515625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0" t="s">
        <v>0</v>
      </c>
      <c r="BA1" s="81"/>
      <c r="BB1" s="81"/>
      <c r="BC1" s="81"/>
      <c r="BD1" s="81"/>
      <c r="BE1" s="81"/>
      <c r="BF1" s="81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6" t="s">
        <v>197</v>
      </c>
      <c r="AW2" s="76" t="s">
        <v>198</v>
      </c>
      <c r="AX2" s="76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116</v>
      </c>
      <c r="F3" s="60" t="s">
        <v>142</v>
      </c>
      <c r="G3" s="60" t="s">
        <v>142</v>
      </c>
      <c r="H3" s="47"/>
      <c r="I3" s="47">
        <f t="shared" ref="I3:I6" si="0">LEN(F3)</f>
        <v>11</v>
      </c>
      <c r="J3" s="47" t="str">
        <f t="shared" ref="J3:J6" si="1">IF(LEN(F3)&lt;=$J$1,F3,"")</f>
        <v>Uab (1гарм)</v>
      </c>
      <c r="K3" s="45" t="s">
        <v>117</v>
      </c>
      <c r="L3" s="48" t="s">
        <v>118</v>
      </c>
      <c r="M3" s="46" t="s">
        <v>51</v>
      </c>
      <c r="N3" s="46" t="s">
        <v>52</v>
      </c>
      <c r="O3" s="46"/>
      <c r="P3" s="49"/>
      <c r="Q3" s="49"/>
      <c r="R3" s="46" t="s">
        <v>124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V6" si="2">BIN2DEC(CONCATENATE(0,0,0,0,AR3,AS3,AT3,AU3))</f>
        <v>0</v>
      </c>
      <c r="AW3" s="59">
        <v>0</v>
      </c>
      <c r="AX3" s="59"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119</v>
      </c>
      <c r="F4" s="60" t="s">
        <v>143</v>
      </c>
      <c r="G4" s="60" t="s">
        <v>143</v>
      </c>
      <c r="H4" s="47"/>
      <c r="I4" s="47">
        <f t="shared" si="0"/>
        <v>11</v>
      </c>
      <c r="J4" s="47" t="str">
        <f t="shared" si="1"/>
        <v>Ubc (1гарм)</v>
      </c>
      <c r="K4" s="45" t="s">
        <v>120</v>
      </c>
      <c r="L4" s="48" t="s">
        <v>118</v>
      </c>
      <c r="M4" s="46" t="s">
        <v>51</v>
      </c>
      <c r="N4" s="46" t="s">
        <v>52</v>
      </c>
      <c r="O4" s="46"/>
      <c r="P4" s="49"/>
      <c r="Q4" s="49"/>
      <c r="R4" s="46" t="s">
        <v>124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v>0</v>
      </c>
      <c r="AX4" s="59"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121</v>
      </c>
      <c r="F5" s="60" t="s">
        <v>147</v>
      </c>
      <c r="G5" s="60" t="s">
        <v>147</v>
      </c>
      <c r="H5" s="47"/>
      <c r="I5" s="47">
        <f t="shared" si="0"/>
        <v>11</v>
      </c>
      <c r="J5" s="47" t="str">
        <f t="shared" si="1"/>
        <v>Uca (1гарм)</v>
      </c>
      <c r="K5" s="45" t="s">
        <v>122</v>
      </c>
      <c r="L5" s="48" t="s">
        <v>118</v>
      </c>
      <c r="M5" s="46" t="s">
        <v>51</v>
      </c>
      <c r="N5" s="46" t="s">
        <v>52</v>
      </c>
      <c r="O5" s="46"/>
      <c r="P5" s="49"/>
      <c r="Q5" s="49"/>
      <c r="R5" s="46" t="s">
        <v>124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v>0</v>
      </c>
      <c r="AX5" s="59"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144</v>
      </c>
      <c r="F6" s="60" t="s">
        <v>145</v>
      </c>
      <c r="G6" s="60" t="s">
        <v>145</v>
      </c>
      <c r="H6" s="47"/>
      <c r="I6" s="47">
        <f t="shared" si="0"/>
        <v>10</v>
      </c>
      <c r="J6" s="47" t="str">
        <f t="shared" si="1"/>
        <v>U2 (1гарм)</v>
      </c>
      <c r="K6" s="45" t="s">
        <v>123</v>
      </c>
      <c r="L6" s="48" t="s">
        <v>118</v>
      </c>
      <c r="M6" s="46" t="s">
        <v>51</v>
      </c>
      <c r="N6" s="46" t="s">
        <v>52</v>
      </c>
      <c r="O6" s="46"/>
      <c r="P6" s="49"/>
      <c r="Q6" s="49"/>
      <c r="R6" s="46" t="s">
        <v>124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v>0</v>
      </c>
      <c r="AX6" s="59"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55"/>
    </row>
    <row r="7" spans="1:16379" s="69" customFormat="1" ht="16.5" customHeight="1" x14ac:dyDescent="0.25">
      <c r="A7" s="45"/>
      <c r="B7" s="74" t="s">
        <v>195</v>
      </c>
      <c r="C7" s="46"/>
      <c r="D7" s="15"/>
      <c r="E7" s="47" t="s">
        <v>103</v>
      </c>
      <c r="F7" s="60" t="s">
        <v>103</v>
      </c>
      <c r="G7" s="60" t="s">
        <v>103</v>
      </c>
      <c r="H7" s="47"/>
      <c r="I7" s="47">
        <f t="shared" ref="I7:I8" si="4">LEN(F7)</f>
        <v>15</v>
      </c>
      <c r="J7" s="47" t="str">
        <f t="shared" ref="J7:J8" si="5">IF(LEN(F7)&lt;=$J$1,F7,"")</f>
        <v>Вывод терминала</v>
      </c>
      <c r="K7" s="45" t="s">
        <v>104</v>
      </c>
      <c r="L7" s="48" t="s">
        <v>54</v>
      </c>
      <c r="M7" s="46" t="s">
        <v>51</v>
      </c>
      <c r="N7" s="46" t="s">
        <v>52</v>
      </c>
      <c r="O7" s="46"/>
      <c r="P7" s="49"/>
      <c r="Q7" s="49"/>
      <c r="R7" s="46" t="s">
        <v>53</v>
      </c>
      <c r="S7" s="46" t="s">
        <v>53</v>
      </c>
      <c r="T7" s="46" t="s">
        <v>53</v>
      </c>
      <c r="U7" s="46" t="s">
        <v>53</v>
      </c>
      <c r="V7" s="46"/>
      <c r="W7" s="46"/>
      <c r="X7" s="46" t="s">
        <v>53</v>
      </c>
      <c r="Y7" s="46">
        <v>0</v>
      </c>
      <c r="Z7" s="50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1"/>
      <c r="AK7" s="51"/>
      <c r="AL7" s="51"/>
      <c r="AM7" s="51"/>
      <c r="AN7" s="51"/>
      <c r="AO7" s="51"/>
      <c r="AP7" s="51"/>
      <c r="AQ7" s="51"/>
      <c r="AR7" s="59">
        <v>0</v>
      </c>
      <c r="AS7" s="59">
        <v>0</v>
      </c>
      <c r="AT7" s="59">
        <v>0</v>
      </c>
      <c r="AU7" s="59">
        <v>0</v>
      </c>
      <c r="AV7" s="59">
        <f t="shared" ref="AV7:AV8" si="6">BIN2DEC(CONCATENATE(0,0,0,0,AR7,AS7,AT7,AU7))</f>
        <v>0</v>
      </c>
      <c r="AW7" s="59">
        <v>0</v>
      </c>
      <c r="AX7" s="59">
        <v>0</v>
      </c>
      <c r="AY7" s="59"/>
      <c r="AZ7" s="49"/>
      <c r="BA7" s="59"/>
      <c r="BB7" s="59"/>
      <c r="BC7" s="52"/>
      <c r="BD7" s="59"/>
      <c r="BE7" s="53"/>
      <c r="BF7" s="59"/>
      <c r="BG7" s="5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55"/>
    </row>
    <row r="8" spans="1:16379" s="69" customFormat="1" ht="16.5" customHeight="1" x14ac:dyDescent="0.25">
      <c r="A8" s="45"/>
      <c r="B8" s="74" t="s">
        <v>195</v>
      </c>
      <c r="C8" s="46"/>
      <c r="D8" s="15" t="s">
        <v>154</v>
      </c>
      <c r="E8" s="47" t="s">
        <v>151</v>
      </c>
      <c r="F8" s="60" t="s">
        <v>152</v>
      </c>
      <c r="G8" s="60" t="s">
        <v>152</v>
      </c>
      <c r="H8" s="47"/>
      <c r="I8" s="47">
        <f t="shared" si="4"/>
        <v>9</v>
      </c>
      <c r="J8" s="47" t="str">
        <f t="shared" si="5"/>
        <v>ОВ КЦН НН</v>
      </c>
      <c r="K8" s="45" t="s">
        <v>153</v>
      </c>
      <c r="L8" s="48" t="s">
        <v>54</v>
      </c>
      <c r="M8" s="46" t="s">
        <v>51</v>
      </c>
      <c r="N8" s="46" t="s">
        <v>52</v>
      </c>
      <c r="O8" s="46"/>
      <c r="P8" s="49"/>
      <c r="Q8" s="49"/>
      <c r="R8" s="46" t="s">
        <v>53</v>
      </c>
      <c r="S8" s="46" t="s">
        <v>53</v>
      </c>
      <c r="T8" s="46" t="s">
        <v>53</v>
      </c>
      <c r="U8" s="46" t="s">
        <v>53</v>
      </c>
      <c r="V8" s="46"/>
      <c r="W8" s="46"/>
      <c r="X8" s="46" t="s">
        <v>53</v>
      </c>
      <c r="Y8" s="46">
        <v>0</v>
      </c>
      <c r="Z8" s="50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/>
      <c r="AJ8" s="51"/>
      <c r="AK8" s="51"/>
      <c r="AL8" s="51"/>
      <c r="AM8" s="51"/>
      <c r="AN8" s="51"/>
      <c r="AO8" s="51"/>
      <c r="AP8" s="51"/>
      <c r="AQ8" s="51"/>
      <c r="AR8" s="59">
        <v>0</v>
      </c>
      <c r="AS8" s="59">
        <v>0</v>
      </c>
      <c r="AT8" s="59">
        <v>0</v>
      </c>
      <c r="AU8" s="59">
        <v>0</v>
      </c>
      <c r="AV8" s="59">
        <f t="shared" si="6"/>
        <v>0</v>
      </c>
      <c r="AW8" s="59">
        <v>0</v>
      </c>
      <c r="AX8" s="59">
        <v>0</v>
      </c>
      <c r="AY8" s="59"/>
      <c r="AZ8" s="49"/>
      <c r="BA8" s="59"/>
      <c r="BB8" s="59"/>
      <c r="BC8" s="52"/>
      <c r="BD8" s="59"/>
      <c r="BE8" s="53"/>
      <c r="BF8" s="59"/>
      <c r="BG8" s="54" t="str">
        <f t="shared" si="7"/>
        <v>description: "ОВ КЦН НН", note: "Оперативный вывод функции КЦН НН", group: "control", minValue: null, maxValue: null, step: null, units: "null", defaultValue: null, eventRegistration: 0</v>
      </c>
      <c r="BH8" s="55"/>
    </row>
    <row r="9" spans="1:16379" s="69" customFormat="1" ht="16.5" customHeight="1" x14ac:dyDescent="0.25">
      <c r="A9" s="45"/>
      <c r="B9" s="75" t="s">
        <v>196</v>
      </c>
      <c r="C9" s="46"/>
      <c r="D9" s="15"/>
      <c r="E9" s="47" t="s">
        <v>155</v>
      </c>
      <c r="F9" s="60" t="s">
        <v>156</v>
      </c>
      <c r="G9" s="60" t="s">
        <v>156</v>
      </c>
      <c r="H9" s="47"/>
      <c r="I9" s="47">
        <f t="shared" ref="I9" si="8">LEN(F9)</f>
        <v>13</v>
      </c>
      <c r="J9" s="47" t="str">
        <f t="shared" ref="J9" si="9">IF(LEN(F9)&lt;=$J$1,F9,"")</f>
        <v>Сраб БНН внеш</v>
      </c>
      <c r="K9" s="45" t="s">
        <v>157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10">BIN2DEC(CONCATENATE(0,0,0,0,AR9,AS9,AT9,AU9))</f>
        <v>0</v>
      </c>
      <c r="AW9" s="59">
        <v>0</v>
      </c>
      <c r="AX9" s="59"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 внеш", note: "Срабатывание внешнего БНН",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7">
        <v>0</v>
      </c>
      <c r="AX10" s="7"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7">
        <v>0</v>
      </c>
      <c r="AX11" s="7"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7">
        <v>0</v>
      </c>
      <c r="AX12" s="7"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N1" zoomScale="80" zoomScaleNormal="80" workbookViewId="0">
      <selection activeCell="AW19" sqref="AW19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0" t="s">
        <v>0</v>
      </c>
      <c r="BA1" s="81"/>
      <c r="BB1" s="81"/>
      <c r="BC1" s="81"/>
      <c r="BD1" s="81"/>
      <c r="BE1" s="81"/>
      <c r="BF1" s="81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6" t="s">
        <v>197</v>
      </c>
      <c r="AW2" s="76" t="s">
        <v>198</v>
      </c>
      <c r="AX2" s="76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77" t="s">
        <v>200</v>
      </c>
      <c r="C3" s="62"/>
      <c r="D3" s="15" t="s">
        <v>158</v>
      </c>
      <c r="E3" s="60" t="s">
        <v>138</v>
      </c>
      <c r="F3" s="40" t="s">
        <v>140</v>
      </c>
      <c r="G3" s="40" t="s">
        <v>140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162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62">
        <v>1</v>
      </c>
      <c r="AW3" s="62">
        <v>1</v>
      </c>
      <c r="AX3" s="62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77" t="s">
        <v>200</v>
      </c>
      <c r="C4" s="62"/>
      <c r="D4" s="15" t="s">
        <v>158</v>
      </c>
      <c r="E4" s="60" t="s">
        <v>139</v>
      </c>
      <c r="F4" s="40" t="s">
        <v>137</v>
      </c>
      <c r="G4" s="40" t="s">
        <v>137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163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62">
        <v>1</v>
      </c>
      <c r="AW4" s="62">
        <v>1</v>
      </c>
      <c r="AX4" s="62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77" t="s">
        <v>200</v>
      </c>
      <c r="C5" s="62"/>
      <c r="D5" s="15" t="s">
        <v>158</v>
      </c>
      <c r="E5" s="60" t="s">
        <v>159</v>
      </c>
      <c r="F5" s="40" t="s">
        <v>160</v>
      </c>
      <c r="G5" s="40" t="s">
        <v>160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161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173</v>
      </c>
      <c r="AJ5" s="56" t="s">
        <v>175</v>
      </c>
      <c r="AK5" s="56" t="s">
        <v>132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62">
        <v>1</v>
      </c>
      <c r="AW5" s="62">
        <v>1</v>
      </c>
      <c r="AX5" s="62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77" t="s">
        <v>200</v>
      </c>
      <c r="C6" s="62"/>
      <c r="D6" s="15" t="s">
        <v>158</v>
      </c>
      <c r="E6" s="60" t="s">
        <v>164</v>
      </c>
      <c r="F6" s="40" t="s">
        <v>165</v>
      </c>
      <c r="G6" s="40" t="s">
        <v>165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166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173</v>
      </c>
      <c r="AJ6" s="56" t="s">
        <v>187</v>
      </c>
      <c r="AK6" s="56" t="s">
        <v>132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62">
        <v>1</v>
      </c>
      <c r="AW6" s="62">
        <v>1</v>
      </c>
      <c r="AX6" s="62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77" t="s">
        <v>200</v>
      </c>
      <c r="C7" s="62"/>
      <c r="D7" s="15" t="s">
        <v>158</v>
      </c>
      <c r="E7" s="60" t="s">
        <v>141</v>
      </c>
      <c r="F7" s="60" t="s">
        <v>141</v>
      </c>
      <c r="G7" s="60" t="s">
        <v>141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167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62">
        <v>1</v>
      </c>
      <c r="AW7" s="62">
        <v>1</v>
      </c>
      <c r="AX7" s="62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77" t="s">
        <v>200</v>
      </c>
      <c r="C8" s="62"/>
      <c r="D8" s="15" t="s">
        <v>158</v>
      </c>
      <c r="E8" s="60" t="s">
        <v>146</v>
      </c>
      <c r="F8" s="60" t="s">
        <v>188</v>
      </c>
      <c r="G8" s="60" t="s">
        <v>188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168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173</v>
      </c>
      <c r="AJ8" s="56" t="s">
        <v>174</v>
      </c>
      <c r="AK8" s="56" t="s">
        <v>132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62">
        <v>1</v>
      </c>
      <c r="AW8" s="62">
        <v>1</v>
      </c>
      <c r="AX8" s="62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77" t="s">
        <v>200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77" t="s">
        <v>200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77" t="s">
        <v>200</v>
      </c>
      <c r="C11" s="2"/>
      <c r="D11" s="16" t="s">
        <v>158</v>
      </c>
      <c r="E11" s="3" t="s">
        <v>169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171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173</v>
      </c>
      <c r="AJ11" s="9" t="s">
        <v>176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77" t="s">
        <v>200</v>
      </c>
      <c r="C12" s="2"/>
      <c r="D12" s="16" t="s">
        <v>158</v>
      </c>
      <c r="E12" s="3" t="s">
        <v>170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172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173</v>
      </c>
      <c r="AJ12" s="9" t="s">
        <v>177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zoomScale="80" zoomScaleNormal="80" workbookViewId="0">
      <selection activeCell="H12" sqref="H12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80" t="s">
        <v>0</v>
      </c>
      <c r="BB1" s="81"/>
      <c r="BC1" s="81"/>
      <c r="BD1" s="81"/>
      <c r="BE1" s="81"/>
      <c r="BF1" s="81"/>
      <c r="BG1" s="81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2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158</v>
      </c>
      <c r="E3" s="60" t="s">
        <v>111</v>
      </c>
      <c r="F3" s="60" t="s">
        <v>106</v>
      </c>
      <c r="G3" s="60" t="s">
        <v>110</v>
      </c>
      <c r="H3" s="83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178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158</v>
      </c>
      <c r="E4" s="60" t="s">
        <v>189</v>
      </c>
      <c r="F4" s="60" t="s">
        <v>190</v>
      </c>
      <c r="G4" s="60" t="s">
        <v>191</v>
      </c>
      <c r="H4" s="83" t="s">
        <v>191</v>
      </c>
      <c r="I4" s="60" t="s">
        <v>193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192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62" t="s">
        <v>194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158</v>
      </c>
      <c r="E5" s="60" t="s">
        <v>125</v>
      </c>
      <c r="F5" s="60" t="s">
        <v>126</v>
      </c>
      <c r="G5" s="60" t="s">
        <v>129</v>
      </c>
      <c r="H5" s="84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179</v>
      </c>
      <c r="M5" s="48" t="s">
        <v>118</v>
      </c>
      <c r="N5" s="65" t="s">
        <v>52</v>
      </c>
      <c r="O5" s="65" t="s">
        <v>52</v>
      </c>
      <c r="P5" s="65"/>
      <c r="Q5" s="73">
        <v>0</v>
      </c>
      <c r="R5" s="73"/>
      <c r="S5" s="65" t="s">
        <v>124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173</v>
      </c>
      <c r="AK5" s="56" t="s">
        <v>183</v>
      </c>
      <c r="AL5" s="56" t="s">
        <v>133</v>
      </c>
      <c r="AM5" s="56" t="s">
        <v>134</v>
      </c>
      <c r="AN5" s="56" t="s">
        <v>118</v>
      </c>
      <c r="AO5" s="56"/>
      <c r="AP5" s="56" t="s">
        <v>150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158</v>
      </c>
      <c r="E6" s="60" t="s">
        <v>127</v>
      </c>
      <c r="F6" s="60" t="s">
        <v>128</v>
      </c>
      <c r="G6" s="60" t="s">
        <v>130</v>
      </c>
      <c r="H6" s="84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180</v>
      </c>
      <c r="M6" s="48" t="s">
        <v>118</v>
      </c>
      <c r="N6" s="65" t="s">
        <v>52</v>
      </c>
      <c r="O6" s="65" t="s">
        <v>52</v>
      </c>
      <c r="P6" s="65"/>
      <c r="Q6" s="73">
        <v>0</v>
      </c>
      <c r="R6" s="73"/>
      <c r="S6" s="65" t="s">
        <v>124</v>
      </c>
      <c r="T6" s="65">
        <v>2</v>
      </c>
      <c r="U6" s="65">
        <v>50</v>
      </c>
      <c r="V6" s="65" t="s">
        <v>131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173</v>
      </c>
      <c r="AK6" s="56" t="s">
        <v>184</v>
      </c>
      <c r="AL6" s="56" t="s">
        <v>133</v>
      </c>
      <c r="AM6" s="56" t="s">
        <v>134</v>
      </c>
      <c r="AN6" s="56" t="s">
        <v>118</v>
      </c>
      <c r="AO6" s="56"/>
      <c r="AP6" s="56" t="s">
        <v>150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15" customHeight="1" x14ac:dyDescent="0.25">
      <c r="A7" s="61"/>
      <c r="B7" s="61" t="s">
        <v>85</v>
      </c>
      <c r="C7" s="65"/>
      <c r="D7" s="15" t="s">
        <v>158</v>
      </c>
      <c r="E7" s="60" t="s">
        <v>181</v>
      </c>
      <c r="F7" s="60" t="s">
        <v>148</v>
      </c>
      <c r="G7" s="60" t="s">
        <v>112</v>
      </c>
      <c r="H7" s="84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182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65" t="s">
        <v>131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173</v>
      </c>
      <c r="AK7" s="56" t="s">
        <v>185</v>
      </c>
      <c r="AL7" s="56" t="s">
        <v>135</v>
      </c>
      <c r="AM7" s="56" t="s">
        <v>136</v>
      </c>
      <c r="AN7" s="56" t="s">
        <v>113</v>
      </c>
      <c r="AO7" s="56"/>
      <c r="AP7" s="56" t="s">
        <v>150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0.1,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.75" x14ac:dyDescent="0.25"/>
  <cols>
    <col min="1" max="1" width="22.42578125" style="71" customWidth="1"/>
    <col min="2" max="2" width="86.7109375" style="7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154</v>
      </c>
    </row>
    <row r="4" spans="1:2" x14ac:dyDescent="0.25">
      <c r="A4" s="41" t="s">
        <v>89</v>
      </c>
      <c r="B4" s="72">
        <v>445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186</v>
      </c>
    </row>
    <row r="7" spans="1:2" x14ac:dyDescent="0.25">
      <c r="A7" s="43" t="s">
        <v>149</v>
      </c>
      <c r="B7" s="42">
        <v>2</v>
      </c>
    </row>
    <row r="8" spans="1:2" x14ac:dyDescent="0.25">
      <c r="A8" s="78" t="s">
        <v>201</v>
      </c>
      <c r="B8" t="s">
        <v>203</v>
      </c>
    </row>
    <row r="9" spans="1:2" x14ac:dyDescent="0.25">
      <c r="A9" s="78" t="s">
        <v>202</v>
      </c>
      <c r="B9" s="78"/>
    </row>
    <row r="10" spans="1:2" x14ac:dyDescent="0.25">
      <c r="A10" s="79" t="s">
        <v>158</v>
      </c>
      <c r="B10" t="s">
        <v>204</v>
      </c>
    </row>
    <row r="11" spans="1:2" x14ac:dyDescent="0.25">
      <c r="A11" s="78" t="s">
        <v>202</v>
      </c>
      <c r="B11" s="7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2025-07-22T11:22:38Z</dcterms:modified>
</cp:coreProperties>
</file>